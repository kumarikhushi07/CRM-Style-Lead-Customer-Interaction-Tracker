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ead_Master" sheetId="1" state="visible" r:id="rId3"/>
    <sheet name="Interaction_Log" sheetId="2" state="visible" r:id="rId4"/>
    <sheet name="Follow_Up_Tracker" sheetId="3" state="visible" r:id="rId5"/>
    <sheet name="CRM_Dashboard" sheetId="4" state="visible" r:id="rId6"/>
    <sheet name="Lists" sheetId="5" state="visible" r:id="rId7"/>
    <sheet name="Notes_DataQuality" sheetId="6" state="visible" r:id="rId8"/>
  </sheets>
  <definedNames>
    <definedName function="false" hidden="true" localSheetId="2" name="_xlnm._FilterDatabase" vbProcedure="false">Follow_Up_Tracker!$A$1:$K$301</definedName>
    <definedName function="false" hidden="true" localSheetId="1" name="_xlnm._FilterDatabase" vbProcedure="false">Interaction_Log!$A$1:$H$748</definedName>
    <definedName function="false" hidden="true" localSheetId="0" name="_xlnm._FilterDatabase" vbProcedure="false">Lead_Master!$A$1:$J$301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<sst xmlns="http://schemas.openxmlformats.org/spreadsheetml/2006/main" count="6170" uniqueCount="2005">
  <si>
    <t xml:space="preserve">Lead ID</t>
  </si>
  <si>
    <t xml:space="preserve">Lead Name</t>
  </si>
  <si>
    <t xml:space="preserve">Email</t>
  </si>
  <si>
    <t xml:space="preserve">Phone</t>
  </si>
  <si>
    <t xml:space="preserve">College</t>
  </si>
  <si>
    <t xml:space="preserve">Course</t>
  </si>
  <si>
    <t xml:space="preserve">Graduation Year</t>
  </si>
  <si>
    <t xml:space="preserve">Interested Program</t>
  </si>
  <si>
    <t xml:space="preserve">Preferred Language</t>
  </si>
  <si>
    <t xml:space="preserve">Lead Date</t>
  </si>
  <si>
    <t xml:space="preserve">LEAD0001</t>
  </si>
  <si>
    <t xml:space="preserve">Shreya Verma</t>
  </si>
  <si>
    <t xml:space="preserve">lead0001@example.com</t>
  </si>
  <si>
    <t xml:space="preserve">9685582861</t>
  </si>
  <si>
    <t xml:space="preserve">Amity University</t>
  </si>
  <si>
    <t xml:space="preserve">MCA</t>
  </si>
  <si>
    <t xml:space="preserve">Data Analytics</t>
  </si>
  <si>
    <t xml:space="preserve">English</t>
  </si>
  <si>
    <t xml:space="preserve">LEAD0002</t>
  </si>
  <si>
    <t xml:space="preserve">Riya Gupta</t>
  </si>
  <si>
    <t xml:space="preserve">lead0002@example.com</t>
  </si>
  <si>
    <t xml:space="preserve">9550455977</t>
  </si>
  <si>
    <t xml:space="preserve">GL Bajaj Institute</t>
  </si>
  <si>
    <t xml:space="preserve">B.Sc</t>
  </si>
  <si>
    <t xml:space="preserve">Cloud Computing</t>
  </si>
  <si>
    <t xml:space="preserve">LEAD0003</t>
  </si>
  <si>
    <t xml:space="preserve">Ishita Mehta</t>
  </si>
  <si>
    <t xml:space="preserve">lead0003@example.com</t>
  </si>
  <si>
    <t xml:space="preserve">9485451171</t>
  </si>
  <si>
    <t xml:space="preserve">Chandigarh University</t>
  </si>
  <si>
    <t xml:space="preserve">LEAD0004</t>
  </si>
  <si>
    <t xml:space="preserve">Abhishek Verma</t>
  </si>
  <si>
    <t xml:space="preserve">lead0004@example.com</t>
  </si>
  <si>
    <t xml:space="preserve">9488302652</t>
  </si>
  <si>
    <t xml:space="preserve">IMS Noida</t>
  </si>
  <si>
    <t xml:space="preserve">BBA</t>
  </si>
  <si>
    <t xml:space="preserve">Hinglish</t>
  </si>
  <si>
    <t xml:space="preserve">LEAD0005</t>
  </si>
  <si>
    <t xml:space="preserve">Tanya Kumar</t>
  </si>
  <si>
    <t xml:space="preserve">lead0005@example.com</t>
  </si>
  <si>
    <t xml:space="preserve">9274648506</t>
  </si>
  <si>
    <t xml:space="preserve">B.Tech</t>
  </si>
  <si>
    <t xml:space="preserve">Cyber Security</t>
  </si>
  <si>
    <t xml:space="preserve">Hindi</t>
  </si>
  <si>
    <t xml:space="preserve">LEAD0006</t>
  </si>
  <si>
    <t xml:space="preserve">Aman Jain</t>
  </si>
  <si>
    <t xml:space="preserve">lead0006@example.com</t>
  </si>
  <si>
    <t xml:space="preserve">9335809993</t>
  </si>
  <si>
    <t xml:space="preserve">IIMT University</t>
  </si>
  <si>
    <t xml:space="preserve">Digital Marketing</t>
  </si>
  <si>
    <t xml:space="preserve">LEAD0007</t>
  </si>
  <si>
    <t xml:space="preserve">Arjun Kumar</t>
  </si>
  <si>
    <t xml:space="preserve">lead0007@example.com</t>
  </si>
  <si>
    <t xml:space="preserve">9803771909</t>
  </si>
  <si>
    <t xml:space="preserve">KIET Group of Institutions</t>
  </si>
  <si>
    <t xml:space="preserve">LEAD0008</t>
  </si>
  <si>
    <t xml:space="preserve">Karan Agarwal</t>
  </si>
  <si>
    <t xml:space="preserve">lead0008@example.com</t>
  </si>
  <si>
    <t xml:space="preserve">9647099690</t>
  </si>
  <si>
    <t xml:space="preserve">BCA</t>
  </si>
  <si>
    <t xml:space="preserve">LEAD0009</t>
  </si>
  <si>
    <t xml:space="preserve">Shreya Singh</t>
  </si>
  <si>
    <t xml:space="preserve">lead0009@example.com</t>
  </si>
  <si>
    <t xml:space="preserve">9112327652</t>
  </si>
  <si>
    <t xml:space="preserve">MBA</t>
  </si>
  <si>
    <t xml:space="preserve">LEAD0010</t>
  </si>
  <si>
    <t xml:space="preserve">Tanya Jain</t>
  </si>
  <si>
    <t xml:space="preserve">lead0010@example.com</t>
  </si>
  <si>
    <t xml:space="preserve">9875340444</t>
  </si>
  <si>
    <t xml:space="preserve">Graphic Era University</t>
  </si>
  <si>
    <t xml:space="preserve">AI &amp; Machine Learning</t>
  </si>
  <si>
    <t xml:space="preserve">LEAD0011</t>
  </si>
  <si>
    <t xml:space="preserve">Mehak Jain</t>
  </si>
  <si>
    <t xml:space="preserve">lead0011@example.com</t>
  </si>
  <si>
    <t xml:space="preserve">9936043811</t>
  </si>
  <si>
    <t xml:space="preserve">Noida International University</t>
  </si>
  <si>
    <t xml:space="preserve">Business Analytics</t>
  </si>
  <si>
    <t xml:space="preserve">LEAD0012</t>
  </si>
  <si>
    <t xml:space="preserve">Harsh Patel</t>
  </si>
  <si>
    <t xml:space="preserve">lead0012@example.com</t>
  </si>
  <si>
    <t xml:space="preserve">9191969690</t>
  </si>
  <si>
    <t xml:space="preserve">LEAD0013</t>
  </si>
  <si>
    <t xml:space="preserve">Rahul Jain</t>
  </si>
  <si>
    <t xml:space="preserve">lead0013@example.com</t>
  </si>
  <si>
    <t xml:space="preserve">9327416584</t>
  </si>
  <si>
    <t xml:space="preserve">B.Com</t>
  </si>
  <si>
    <t xml:space="preserve">LEAD0014</t>
  </si>
  <si>
    <t xml:space="preserve">Vivek Jain</t>
  </si>
  <si>
    <t xml:space="preserve">lead0014@example.com</t>
  </si>
  <si>
    <t xml:space="preserve">9694768704</t>
  </si>
  <si>
    <t xml:space="preserve">LEAD0015</t>
  </si>
  <si>
    <t xml:space="preserve">Karan Verma</t>
  </si>
  <si>
    <t xml:space="preserve">lead0015@example.com</t>
  </si>
  <si>
    <t xml:space="preserve">9876693898</t>
  </si>
  <si>
    <t xml:space="preserve">LEAD0016</t>
  </si>
  <si>
    <t xml:space="preserve">Riya Verma</t>
  </si>
  <si>
    <t xml:space="preserve">lead0016@example.com</t>
  </si>
  <si>
    <t xml:space="preserve">9793830224</t>
  </si>
  <si>
    <t xml:space="preserve">LEAD0017</t>
  </si>
  <si>
    <t xml:space="preserve">Karan Gupta</t>
  </si>
  <si>
    <t xml:space="preserve">lead0017@example.com</t>
  </si>
  <si>
    <t xml:space="preserve">9967607278</t>
  </si>
  <si>
    <t xml:space="preserve">LEAD0018</t>
  </si>
  <si>
    <t xml:space="preserve">Ananya Srivastava</t>
  </si>
  <si>
    <t xml:space="preserve">lead0018@example.com</t>
  </si>
  <si>
    <t xml:space="preserve">9276777762</t>
  </si>
  <si>
    <t xml:space="preserve">Bennett University</t>
  </si>
  <si>
    <t xml:space="preserve">Full Stack Development</t>
  </si>
  <si>
    <t xml:space="preserve">LEAD0019</t>
  </si>
  <si>
    <t xml:space="preserve">Pooja Agarwal</t>
  </si>
  <si>
    <t xml:space="preserve">lead0019@example.com</t>
  </si>
  <si>
    <t xml:space="preserve">9161380746</t>
  </si>
  <si>
    <t xml:space="preserve">Lovely Professional University</t>
  </si>
  <si>
    <t xml:space="preserve">LEAD0020</t>
  </si>
  <si>
    <t xml:space="preserve">Aditya Pandey</t>
  </si>
  <si>
    <t xml:space="preserve">lead0020@example.com</t>
  </si>
  <si>
    <t xml:space="preserve">9533550699</t>
  </si>
  <si>
    <t xml:space="preserve">LEAD0021</t>
  </si>
  <si>
    <t xml:space="preserve">Aman Verma</t>
  </si>
  <si>
    <t xml:space="preserve">lead0021@example.com</t>
  </si>
  <si>
    <t xml:space="preserve">9524971817</t>
  </si>
  <si>
    <t xml:space="preserve">Galgotias University</t>
  </si>
  <si>
    <t xml:space="preserve">LEAD0022</t>
  </si>
  <si>
    <t xml:space="preserve">Aarav Mishra</t>
  </si>
  <si>
    <t xml:space="preserve">lead0022@example.com</t>
  </si>
  <si>
    <t xml:space="preserve">9384756779</t>
  </si>
  <si>
    <t xml:space="preserve">LEAD0023</t>
  </si>
  <si>
    <t xml:space="preserve">Sneha Mishra</t>
  </si>
  <si>
    <t xml:space="preserve">lead0023@example.com</t>
  </si>
  <si>
    <t xml:space="preserve">9977358886</t>
  </si>
  <si>
    <t xml:space="preserve">LEAD0024</t>
  </si>
  <si>
    <t xml:space="preserve">Muskan Verma</t>
  </si>
  <si>
    <t xml:space="preserve">lead0024@example.com</t>
  </si>
  <si>
    <t xml:space="preserve">9838194420</t>
  </si>
  <si>
    <t xml:space="preserve">LEAD0025</t>
  </si>
  <si>
    <t xml:space="preserve">Muskan Srivastava</t>
  </si>
  <si>
    <t xml:space="preserve">lead0025@example.com</t>
  </si>
  <si>
    <t xml:space="preserve">9103807155</t>
  </si>
  <si>
    <t xml:space="preserve">LEAD0026</t>
  </si>
  <si>
    <t xml:space="preserve">Yash Mishra</t>
  </si>
  <si>
    <t xml:space="preserve">lead0026@example.com</t>
  </si>
  <si>
    <t xml:space="preserve">9138684919</t>
  </si>
  <si>
    <t xml:space="preserve">LEAD0027</t>
  </si>
  <si>
    <t xml:space="preserve">Rohan Patel</t>
  </si>
  <si>
    <t xml:space="preserve">lead0027@example.com</t>
  </si>
  <si>
    <t xml:space="preserve">9536344399</t>
  </si>
  <si>
    <t xml:space="preserve">LEAD0028</t>
  </si>
  <si>
    <t xml:space="preserve">Muskan Mehta</t>
  </si>
  <si>
    <t xml:space="preserve">lead0028@example.com</t>
  </si>
  <si>
    <t xml:space="preserve">9386480450</t>
  </si>
  <si>
    <t xml:space="preserve">LEAD0029</t>
  </si>
  <si>
    <t xml:space="preserve">lead0029@example.com</t>
  </si>
  <si>
    <t xml:space="preserve">9307371533</t>
  </si>
  <si>
    <t xml:space="preserve">LEAD0030</t>
  </si>
  <si>
    <t xml:space="preserve">Simran Jain</t>
  </si>
  <si>
    <t xml:space="preserve">lead0030@example.com</t>
  </si>
  <si>
    <t xml:space="preserve">9380477683</t>
  </si>
  <si>
    <t xml:space="preserve">LEAD0031</t>
  </si>
  <si>
    <t xml:space="preserve">Simran Agarwal</t>
  </si>
  <si>
    <t xml:space="preserve">lead0031@example.com</t>
  </si>
  <si>
    <t xml:space="preserve">9101815992</t>
  </si>
  <si>
    <t xml:space="preserve">LEAD0032</t>
  </si>
  <si>
    <t xml:space="preserve">Vivek Srivastava</t>
  </si>
  <si>
    <t xml:space="preserve">lead0032@example.com</t>
  </si>
  <si>
    <t xml:space="preserve">9816070802</t>
  </si>
  <si>
    <t xml:space="preserve">LEAD0033</t>
  </si>
  <si>
    <t xml:space="preserve">Riya Mehta</t>
  </si>
  <si>
    <t xml:space="preserve">lead0033@example.com</t>
  </si>
  <si>
    <t xml:space="preserve">9426283245</t>
  </si>
  <si>
    <t xml:space="preserve">Sharda University</t>
  </si>
  <si>
    <t xml:space="preserve">LEAD0034</t>
  </si>
  <si>
    <t xml:space="preserve">Kartik Mishra</t>
  </si>
  <si>
    <t xml:space="preserve">lead0034@example.com</t>
  </si>
  <si>
    <t xml:space="preserve">9890232588</t>
  </si>
  <si>
    <t xml:space="preserve">LEAD0035</t>
  </si>
  <si>
    <t xml:space="preserve">Ananya Rathore</t>
  </si>
  <si>
    <t xml:space="preserve">lead0035@example.com</t>
  </si>
  <si>
    <t xml:space="preserve">9610173760</t>
  </si>
  <si>
    <t xml:space="preserve">LEAD0036</t>
  </si>
  <si>
    <t xml:space="preserve">Ishita Agarwal</t>
  </si>
  <si>
    <t xml:space="preserve">lead0036@example.com</t>
  </si>
  <si>
    <t xml:space="preserve">9214447237</t>
  </si>
  <si>
    <t xml:space="preserve">LEAD0037</t>
  </si>
  <si>
    <t xml:space="preserve">lead0037@example.com</t>
  </si>
  <si>
    <t xml:space="preserve">9700141462</t>
  </si>
  <si>
    <t xml:space="preserve">LEAD0038</t>
  </si>
  <si>
    <t xml:space="preserve">Mehak Srivastava</t>
  </si>
  <si>
    <t xml:space="preserve">lead0038@example.com</t>
  </si>
  <si>
    <t xml:space="preserve">9784683755</t>
  </si>
  <si>
    <t xml:space="preserve">LEAD0039</t>
  </si>
  <si>
    <t xml:space="preserve">Kartik Verma</t>
  </si>
  <si>
    <t xml:space="preserve">lead0039@example.com</t>
  </si>
  <si>
    <t xml:space="preserve">9261953189</t>
  </si>
  <si>
    <t xml:space="preserve">LEAD0040</t>
  </si>
  <si>
    <t xml:space="preserve">Pooja Mehta</t>
  </si>
  <si>
    <t xml:space="preserve">lead0040@example.com</t>
  </si>
  <si>
    <t xml:space="preserve">9846812123</t>
  </si>
  <si>
    <t xml:space="preserve">LEAD0041</t>
  </si>
  <si>
    <t xml:space="preserve">Rohan Sinha</t>
  </si>
  <si>
    <t xml:space="preserve">lead0041@example.com</t>
  </si>
  <si>
    <t xml:space="preserve">9393062061</t>
  </si>
  <si>
    <t xml:space="preserve">LEAD0042</t>
  </si>
  <si>
    <t xml:space="preserve">Yash Singh</t>
  </si>
  <si>
    <t xml:space="preserve">lead0042@example.com</t>
  </si>
  <si>
    <t xml:space="preserve">9706011277</t>
  </si>
  <si>
    <t xml:space="preserve">LEAD0043</t>
  </si>
  <si>
    <t xml:space="preserve">Varun Mishra</t>
  </si>
  <si>
    <t xml:space="preserve">lead0043@example.com</t>
  </si>
  <si>
    <t xml:space="preserve">9588229686</t>
  </si>
  <si>
    <t xml:space="preserve">LEAD0044</t>
  </si>
  <si>
    <t xml:space="preserve">Mehak Verma</t>
  </si>
  <si>
    <t xml:space="preserve">lead0044@example.com</t>
  </si>
  <si>
    <t xml:space="preserve">9475767056</t>
  </si>
  <si>
    <t xml:space="preserve">LEAD0045</t>
  </si>
  <si>
    <t xml:space="preserve">Tanya Sharma</t>
  </si>
  <si>
    <t xml:space="preserve">lead0045@example.com</t>
  </si>
  <si>
    <t xml:space="preserve">9818825964</t>
  </si>
  <si>
    <t xml:space="preserve">LEAD0046</t>
  </si>
  <si>
    <t xml:space="preserve">Tanya Patel</t>
  </si>
  <si>
    <t xml:space="preserve">lead0046@example.com</t>
  </si>
  <si>
    <t xml:space="preserve">9433975497</t>
  </si>
  <si>
    <t xml:space="preserve">LEAD0047</t>
  </si>
  <si>
    <t xml:space="preserve">Arjun Agarwal</t>
  </si>
  <si>
    <t xml:space="preserve">lead0047@example.com</t>
  </si>
  <si>
    <t xml:space="preserve">9209415691</t>
  </si>
  <si>
    <t xml:space="preserve">LEAD0048</t>
  </si>
  <si>
    <t xml:space="preserve">Sahil Yadav</t>
  </si>
  <si>
    <t xml:space="preserve">lead0048@example.com</t>
  </si>
  <si>
    <t xml:space="preserve">9113585139</t>
  </si>
  <si>
    <t xml:space="preserve">LEAD0049</t>
  </si>
  <si>
    <t xml:space="preserve">Shreya Srivastava</t>
  </si>
  <si>
    <t xml:space="preserve">lead0049@example.com</t>
  </si>
  <si>
    <t xml:space="preserve">9389998761</t>
  </si>
  <si>
    <t xml:space="preserve">LEAD0050</t>
  </si>
  <si>
    <t xml:space="preserve">Ayush Rathore</t>
  </si>
  <si>
    <t xml:space="preserve">lead0050@example.com</t>
  </si>
  <si>
    <t xml:space="preserve">9905817775</t>
  </si>
  <si>
    <t xml:space="preserve">LEAD0051</t>
  </si>
  <si>
    <t xml:space="preserve">Varun Patel</t>
  </si>
  <si>
    <t xml:space="preserve">lead0051@example.com</t>
  </si>
  <si>
    <t xml:space="preserve">9396641124</t>
  </si>
  <si>
    <t xml:space="preserve">LEAD0052</t>
  </si>
  <si>
    <t xml:space="preserve">Khushi Pandey</t>
  </si>
  <si>
    <t xml:space="preserve">lead0052@example.com</t>
  </si>
  <si>
    <t xml:space="preserve">9842800803</t>
  </si>
  <si>
    <t xml:space="preserve">LEAD0053</t>
  </si>
  <si>
    <t xml:space="preserve">lead0053@example.com</t>
  </si>
  <si>
    <t xml:space="preserve">9438817025</t>
  </si>
  <si>
    <t xml:space="preserve">LEAD0054</t>
  </si>
  <si>
    <t xml:space="preserve">Neha Agarwal</t>
  </si>
  <si>
    <t xml:space="preserve">lead0054@example.com</t>
  </si>
  <si>
    <t xml:space="preserve">9115191689</t>
  </si>
  <si>
    <t xml:space="preserve">LEAD0055</t>
  </si>
  <si>
    <t xml:space="preserve">Abhishek Kumar</t>
  </si>
  <si>
    <t xml:space="preserve">lead0055@example.com</t>
  </si>
  <si>
    <t xml:space="preserve">9113169872</t>
  </si>
  <si>
    <t xml:space="preserve">LEAD0056</t>
  </si>
  <si>
    <t xml:space="preserve">Sneha Sharma</t>
  </si>
  <si>
    <t xml:space="preserve">lead0056@example.com</t>
  </si>
  <si>
    <t xml:space="preserve">9260199682</t>
  </si>
  <si>
    <t xml:space="preserve">LEAD0057</t>
  </si>
  <si>
    <t xml:space="preserve">Aman Yadav</t>
  </si>
  <si>
    <t xml:space="preserve">lead0057@example.com</t>
  </si>
  <si>
    <t xml:space="preserve">9731924051</t>
  </si>
  <si>
    <t xml:space="preserve">LEAD0058</t>
  </si>
  <si>
    <t xml:space="preserve">Tanya Gupta</t>
  </si>
  <si>
    <t xml:space="preserve">lead0058@example.com</t>
  </si>
  <si>
    <t xml:space="preserve">9692697161</t>
  </si>
  <si>
    <t xml:space="preserve">LEAD0059</t>
  </si>
  <si>
    <t xml:space="preserve">Rohan Sharma</t>
  </si>
  <si>
    <t xml:space="preserve">lead0059@example.com</t>
  </si>
  <si>
    <t xml:space="preserve">9945923902</t>
  </si>
  <si>
    <t xml:space="preserve">LEAD0060</t>
  </si>
  <si>
    <t xml:space="preserve">lead0060@example.com</t>
  </si>
  <si>
    <t xml:space="preserve">9904187231</t>
  </si>
  <si>
    <t xml:space="preserve">LEAD0061</t>
  </si>
  <si>
    <t xml:space="preserve">lead0061@example.com</t>
  </si>
  <si>
    <t xml:space="preserve">9127772220</t>
  </si>
  <si>
    <t xml:space="preserve">LEAD0062</t>
  </si>
  <si>
    <t xml:space="preserve">Sakshi Sharma</t>
  </si>
  <si>
    <t xml:space="preserve">lead0062@example.com</t>
  </si>
  <si>
    <t xml:space="preserve">9197970787</t>
  </si>
  <si>
    <t xml:space="preserve">LEAD0063</t>
  </si>
  <si>
    <t xml:space="preserve">Varun Singh</t>
  </si>
  <si>
    <t xml:space="preserve">lead0063@example.com</t>
  </si>
  <si>
    <t xml:space="preserve">9588365604</t>
  </si>
  <si>
    <t xml:space="preserve">LEAD0064</t>
  </si>
  <si>
    <t xml:space="preserve">Varun Pandey</t>
  </si>
  <si>
    <t xml:space="preserve">lead0064@example.com</t>
  </si>
  <si>
    <t xml:space="preserve">9916033628</t>
  </si>
  <si>
    <t xml:space="preserve">LEAD0065</t>
  </si>
  <si>
    <t xml:space="preserve">Kartik Srivastava</t>
  </si>
  <si>
    <t xml:space="preserve">lead0065@example.com</t>
  </si>
  <si>
    <t xml:space="preserve">9691458887</t>
  </si>
  <si>
    <t xml:space="preserve">LEAD0066</t>
  </si>
  <si>
    <t xml:space="preserve">lead0066@example.com</t>
  </si>
  <si>
    <t xml:space="preserve">9393587744</t>
  </si>
  <si>
    <t xml:space="preserve">LEAD0067</t>
  </si>
  <si>
    <t xml:space="preserve">Abhishek Singh</t>
  </si>
  <si>
    <t xml:space="preserve">lead0067@example.com</t>
  </si>
  <si>
    <t xml:space="preserve">9396618390</t>
  </si>
  <si>
    <t xml:space="preserve">LEAD0068</t>
  </si>
  <si>
    <t xml:space="preserve">Yash Kumar</t>
  </si>
  <si>
    <t xml:space="preserve">lead0068@example.com</t>
  </si>
  <si>
    <t xml:space="preserve">9588922557</t>
  </si>
  <si>
    <t xml:space="preserve">LEAD0069</t>
  </si>
  <si>
    <t xml:space="preserve">Karan Rathore</t>
  </si>
  <si>
    <t xml:space="preserve">lead0069@example.com</t>
  </si>
  <si>
    <t xml:space="preserve">9514548900</t>
  </si>
  <si>
    <t xml:space="preserve">LEAD0070</t>
  </si>
  <si>
    <t xml:space="preserve">Nidhi Yadav</t>
  </si>
  <si>
    <t xml:space="preserve">lead0070@example.com</t>
  </si>
  <si>
    <t xml:space="preserve">9664735673</t>
  </si>
  <si>
    <t xml:space="preserve">LEAD0071</t>
  </si>
  <si>
    <t xml:space="preserve">Ananya Mishra</t>
  </si>
  <si>
    <t xml:space="preserve">lead0071@example.com</t>
  </si>
  <si>
    <t xml:space="preserve">9824085842</t>
  </si>
  <si>
    <t xml:space="preserve">LEAD0072</t>
  </si>
  <si>
    <t xml:space="preserve">lead0072@example.com</t>
  </si>
  <si>
    <t xml:space="preserve">9408570854</t>
  </si>
  <si>
    <t xml:space="preserve">LEAD0073</t>
  </si>
  <si>
    <t xml:space="preserve">Kartik Singh</t>
  </si>
  <si>
    <t xml:space="preserve">lead0073@example.com</t>
  </si>
  <si>
    <t xml:space="preserve">9502482554</t>
  </si>
  <si>
    <t xml:space="preserve">LEAD0074</t>
  </si>
  <si>
    <t xml:space="preserve">Sneha Singh</t>
  </si>
  <si>
    <t xml:space="preserve">lead0074@example.com</t>
  </si>
  <si>
    <t xml:space="preserve">9372706093</t>
  </si>
  <si>
    <t xml:space="preserve">LEAD0075</t>
  </si>
  <si>
    <t xml:space="preserve">Vivek Pandey</t>
  </si>
  <si>
    <t xml:space="preserve">lead0075@example.com</t>
  </si>
  <si>
    <t xml:space="preserve">9421214426</t>
  </si>
  <si>
    <t xml:space="preserve">LEAD0076</t>
  </si>
  <si>
    <t xml:space="preserve">Arjun Rathore</t>
  </si>
  <si>
    <t xml:space="preserve">lead0076@example.com</t>
  </si>
  <si>
    <t xml:space="preserve">9717199615</t>
  </si>
  <si>
    <t xml:space="preserve">LEAD0077</t>
  </si>
  <si>
    <t xml:space="preserve">Neha Sharma</t>
  </si>
  <si>
    <t xml:space="preserve">lead0077@example.com</t>
  </si>
  <si>
    <t xml:space="preserve">9994253959</t>
  </si>
  <si>
    <t xml:space="preserve">LEAD0078</t>
  </si>
  <si>
    <t xml:space="preserve">Shreya Gupta</t>
  </si>
  <si>
    <t xml:space="preserve">lead0078@example.com</t>
  </si>
  <si>
    <t xml:space="preserve">9773728014</t>
  </si>
  <si>
    <t xml:space="preserve">LEAD0079</t>
  </si>
  <si>
    <t xml:space="preserve">Sakshi Patel</t>
  </si>
  <si>
    <t xml:space="preserve">lead0079@example.com</t>
  </si>
  <si>
    <t xml:space="preserve">9546143048</t>
  </si>
  <si>
    <t xml:space="preserve">LEAD0080</t>
  </si>
  <si>
    <t xml:space="preserve">Nidhi Pandey</t>
  </si>
  <si>
    <t xml:space="preserve">lead0080@example.com</t>
  </si>
  <si>
    <t xml:space="preserve">9965960427</t>
  </si>
  <si>
    <t xml:space="preserve">LEAD0081</t>
  </si>
  <si>
    <t xml:space="preserve">Ananya Singh</t>
  </si>
  <si>
    <t xml:space="preserve">lead0081@example.com</t>
  </si>
  <si>
    <t xml:space="preserve">9676140134</t>
  </si>
  <si>
    <t xml:space="preserve">LEAD0082</t>
  </si>
  <si>
    <t xml:space="preserve">Sakshi Mehta</t>
  </si>
  <si>
    <t xml:space="preserve">lead0082@example.com</t>
  </si>
  <si>
    <t xml:space="preserve">9702806585</t>
  </si>
  <si>
    <t xml:space="preserve">LEAD0083</t>
  </si>
  <si>
    <t xml:space="preserve">Harsh Agarwal</t>
  </si>
  <si>
    <t xml:space="preserve">lead0083@example.com</t>
  </si>
  <si>
    <t xml:space="preserve">9677186272</t>
  </si>
  <si>
    <t xml:space="preserve">LEAD0084</t>
  </si>
  <si>
    <t xml:space="preserve">Sakshi Agarwal</t>
  </si>
  <si>
    <t xml:space="preserve">lead0084@example.com</t>
  </si>
  <si>
    <t xml:space="preserve">9841183219</t>
  </si>
  <si>
    <t xml:space="preserve">LEAD0085</t>
  </si>
  <si>
    <t xml:space="preserve">Priya Jain</t>
  </si>
  <si>
    <t xml:space="preserve">lead0085@example.com</t>
  </si>
  <si>
    <t xml:space="preserve">9984968439</t>
  </si>
  <si>
    <t xml:space="preserve">LEAD0086</t>
  </si>
  <si>
    <t xml:space="preserve">Aditya Sinha</t>
  </si>
  <si>
    <t xml:space="preserve">lead0086@example.com</t>
  </si>
  <si>
    <t xml:space="preserve">9991010113</t>
  </si>
  <si>
    <t xml:space="preserve">LEAD0087</t>
  </si>
  <si>
    <t xml:space="preserve">Tanya Singh</t>
  </si>
  <si>
    <t xml:space="preserve">lead0087@example.com</t>
  </si>
  <si>
    <t xml:space="preserve">9239577989</t>
  </si>
  <si>
    <t xml:space="preserve">LEAD0088</t>
  </si>
  <si>
    <t xml:space="preserve">Rahul Sharma</t>
  </si>
  <si>
    <t xml:space="preserve">lead0088@example.com</t>
  </si>
  <si>
    <t xml:space="preserve">9236105947</t>
  </si>
  <si>
    <t xml:space="preserve">LEAD0089</t>
  </si>
  <si>
    <t xml:space="preserve">Kartik Sinha</t>
  </si>
  <si>
    <t xml:space="preserve">lead0089@example.com</t>
  </si>
  <si>
    <t xml:space="preserve">9146562851</t>
  </si>
  <si>
    <t xml:space="preserve">LEAD0090</t>
  </si>
  <si>
    <t xml:space="preserve">Aditya Mishra</t>
  </si>
  <si>
    <t xml:space="preserve">lead0090@example.com</t>
  </si>
  <si>
    <t xml:space="preserve">9753154389</t>
  </si>
  <si>
    <t xml:space="preserve">LEAD0091</t>
  </si>
  <si>
    <t xml:space="preserve">Arjun Yadav</t>
  </si>
  <si>
    <t xml:space="preserve">lead0091@example.com</t>
  </si>
  <si>
    <t xml:space="preserve">9802992685</t>
  </si>
  <si>
    <t xml:space="preserve">LEAD0092</t>
  </si>
  <si>
    <t xml:space="preserve">Pooja Patel</t>
  </si>
  <si>
    <t xml:space="preserve">lead0092@example.com</t>
  </si>
  <si>
    <t xml:space="preserve">9837468465</t>
  </si>
  <si>
    <t xml:space="preserve">LEAD0093</t>
  </si>
  <si>
    <t xml:space="preserve">Pooja Verma</t>
  </si>
  <si>
    <t xml:space="preserve">lead0093@example.com</t>
  </si>
  <si>
    <t xml:space="preserve">9819421270</t>
  </si>
  <si>
    <t xml:space="preserve">LEAD0094</t>
  </si>
  <si>
    <t xml:space="preserve">Varun Srivastava</t>
  </si>
  <si>
    <t xml:space="preserve">lead0094@example.com</t>
  </si>
  <si>
    <t xml:space="preserve">9340781088</t>
  </si>
  <si>
    <t xml:space="preserve">LEAD0095</t>
  </si>
  <si>
    <t xml:space="preserve">Sahil Mehta</t>
  </si>
  <si>
    <t xml:space="preserve">lead0095@example.com</t>
  </si>
  <si>
    <t xml:space="preserve">9131088245</t>
  </si>
  <si>
    <t xml:space="preserve">LEAD0096</t>
  </si>
  <si>
    <t xml:space="preserve">Sneha Rathore</t>
  </si>
  <si>
    <t xml:space="preserve">lead0096@example.com</t>
  </si>
  <si>
    <t xml:space="preserve">9503935666</t>
  </si>
  <si>
    <t xml:space="preserve">LEAD0097</t>
  </si>
  <si>
    <t xml:space="preserve">Yash Patel</t>
  </si>
  <si>
    <t xml:space="preserve">lead0097@example.com</t>
  </si>
  <si>
    <t xml:space="preserve">9910069356</t>
  </si>
  <si>
    <t xml:space="preserve">LEAD0098</t>
  </si>
  <si>
    <t xml:space="preserve">Khushi Yadav</t>
  </si>
  <si>
    <t xml:space="preserve">lead0098@example.com</t>
  </si>
  <si>
    <t xml:space="preserve">9622517939</t>
  </si>
  <si>
    <t xml:space="preserve">LEAD0099</t>
  </si>
  <si>
    <t xml:space="preserve">Aman Sharma</t>
  </si>
  <si>
    <t xml:space="preserve">lead0099@example.com</t>
  </si>
  <si>
    <t xml:space="preserve">9374361983</t>
  </si>
  <si>
    <t xml:space="preserve">LEAD0100</t>
  </si>
  <si>
    <t xml:space="preserve">lead0100@example.com</t>
  </si>
  <si>
    <t xml:space="preserve">9177390472</t>
  </si>
  <si>
    <t xml:space="preserve">LEAD0101</t>
  </si>
  <si>
    <t xml:space="preserve">Harsh Verma</t>
  </si>
  <si>
    <t xml:space="preserve">lead0101@example.com</t>
  </si>
  <si>
    <t xml:space="preserve">9448717183</t>
  </si>
  <si>
    <t xml:space="preserve">LEAD0102</t>
  </si>
  <si>
    <t xml:space="preserve">Ananya Mehta</t>
  </si>
  <si>
    <t xml:space="preserve">lead0102@example.com</t>
  </si>
  <si>
    <t xml:space="preserve">9900801837</t>
  </si>
  <si>
    <t xml:space="preserve">LEAD0103</t>
  </si>
  <si>
    <t xml:space="preserve">Nidhi Jain</t>
  </si>
  <si>
    <t xml:space="preserve">lead0103@example.com</t>
  </si>
  <si>
    <t xml:space="preserve">9353691745</t>
  </si>
  <si>
    <t xml:space="preserve">LEAD0104</t>
  </si>
  <si>
    <t xml:space="preserve">Tanya Sinha</t>
  </si>
  <si>
    <t xml:space="preserve">lead0104@example.com</t>
  </si>
  <si>
    <t xml:space="preserve">9630554118</t>
  </si>
  <si>
    <t xml:space="preserve">LEAD0105</t>
  </si>
  <si>
    <t xml:space="preserve">Varun Jain</t>
  </si>
  <si>
    <t xml:space="preserve">lead0105@example.com</t>
  </si>
  <si>
    <t xml:space="preserve">9735032128</t>
  </si>
  <si>
    <t xml:space="preserve">LEAD0106</t>
  </si>
  <si>
    <t xml:space="preserve">Aditya Sharma</t>
  </si>
  <si>
    <t xml:space="preserve">lead0106@example.com</t>
  </si>
  <si>
    <t xml:space="preserve">9644459924</t>
  </si>
  <si>
    <t xml:space="preserve">LEAD0107</t>
  </si>
  <si>
    <t xml:space="preserve">Ayush Yadav</t>
  </si>
  <si>
    <t xml:space="preserve">lead0107@example.com</t>
  </si>
  <si>
    <t xml:space="preserve">9866990485</t>
  </si>
  <si>
    <t xml:space="preserve">LEAD0108</t>
  </si>
  <si>
    <t xml:space="preserve">Kartik Pandey</t>
  </si>
  <si>
    <t xml:space="preserve">lead0108@example.com</t>
  </si>
  <si>
    <t xml:space="preserve">9931575232</t>
  </si>
  <si>
    <t xml:space="preserve">LEAD0109</t>
  </si>
  <si>
    <t xml:space="preserve">Ananya Patel</t>
  </si>
  <si>
    <t xml:space="preserve">lead0109@example.com</t>
  </si>
  <si>
    <t xml:space="preserve">9457944766</t>
  </si>
  <si>
    <t xml:space="preserve">LEAD0110</t>
  </si>
  <si>
    <t xml:space="preserve">Rahul Yadav</t>
  </si>
  <si>
    <t xml:space="preserve">lead0110@example.com</t>
  </si>
  <si>
    <t xml:space="preserve">9200344359</t>
  </si>
  <si>
    <t xml:space="preserve">LEAD0111</t>
  </si>
  <si>
    <t xml:space="preserve">Simran Kumar</t>
  </si>
  <si>
    <t xml:space="preserve">lead0111@example.com</t>
  </si>
  <si>
    <t xml:space="preserve">9247709679</t>
  </si>
  <si>
    <t xml:space="preserve">LEAD0112</t>
  </si>
  <si>
    <t xml:space="preserve">Vivek Patel</t>
  </si>
  <si>
    <t xml:space="preserve">lead0112@example.com</t>
  </si>
  <si>
    <t xml:space="preserve">9843937341</t>
  </si>
  <si>
    <t xml:space="preserve">LEAD0113</t>
  </si>
  <si>
    <t xml:space="preserve">lead0113@example.com</t>
  </si>
  <si>
    <t xml:space="preserve">9351258749</t>
  </si>
  <si>
    <t xml:space="preserve">LEAD0114</t>
  </si>
  <si>
    <t xml:space="preserve">lead0114@example.com</t>
  </si>
  <si>
    <t xml:space="preserve">9960345542</t>
  </si>
  <si>
    <t xml:space="preserve">LEAD0115</t>
  </si>
  <si>
    <t xml:space="preserve">lead0115@example.com</t>
  </si>
  <si>
    <t xml:space="preserve">9233871736</t>
  </si>
  <si>
    <t xml:space="preserve">LEAD0116</t>
  </si>
  <si>
    <t xml:space="preserve">Mehak Mehta</t>
  </si>
  <si>
    <t xml:space="preserve">lead0116@example.com</t>
  </si>
  <si>
    <t xml:space="preserve">9545492166</t>
  </si>
  <si>
    <t xml:space="preserve">LEAD0117</t>
  </si>
  <si>
    <t xml:space="preserve">Simran Gupta</t>
  </si>
  <si>
    <t xml:space="preserve">lead0117@example.com</t>
  </si>
  <si>
    <t xml:space="preserve">9141127742</t>
  </si>
  <si>
    <t xml:space="preserve">LEAD0118</t>
  </si>
  <si>
    <t xml:space="preserve">Kartik Yadav</t>
  </si>
  <si>
    <t xml:space="preserve">lead0118@example.com</t>
  </si>
  <si>
    <t xml:space="preserve">9260545470</t>
  </si>
  <si>
    <t xml:space="preserve">LEAD0119</t>
  </si>
  <si>
    <t xml:space="preserve">Rohan Verma</t>
  </si>
  <si>
    <t xml:space="preserve">lead0119@example.com</t>
  </si>
  <si>
    <t xml:space="preserve">9219032752</t>
  </si>
  <si>
    <t xml:space="preserve">LEAD0120</t>
  </si>
  <si>
    <t xml:space="preserve">Ishita Singh</t>
  </si>
  <si>
    <t xml:space="preserve">lead0120@example.com</t>
  </si>
  <si>
    <t xml:space="preserve">9662087258</t>
  </si>
  <si>
    <t xml:space="preserve">LEAD0121</t>
  </si>
  <si>
    <t xml:space="preserve">Shreya Mehta</t>
  </si>
  <si>
    <t xml:space="preserve">lead0121@example.com</t>
  </si>
  <si>
    <t xml:space="preserve">9805560474</t>
  </si>
  <si>
    <t xml:space="preserve">LEAD0122</t>
  </si>
  <si>
    <t xml:space="preserve">Abhishek Patel</t>
  </si>
  <si>
    <t xml:space="preserve">lead0122@example.com</t>
  </si>
  <si>
    <t xml:space="preserve">9613818935</t>
  </si>
  <si>
    <t xml:space="preserve">LEAD0123</t>
  </si>
  <si>
    <t xml:space="preserve">Aditya Kumar</t>
  </si>
  <si>
    <t xml:space="preserve">lead0123@example.com</t>
  </si>
  <si>
    <t xml:space="preserve">9438868427</t>
  </si>
  <si>
    <t xml:space="preserve">LEAD0124</t>
  </si>
  <si>
    <t xml:space="preserve">lead0124@example.com</t>
  </si>
  <si>
    <t xml:space="preserve">9804086195</t>
  </si>
  <si>
    <t xml:space="preserve">LEAD0125</t>
  </si>
  <si>
    <t xml:space="preserve">lead0125@example.com</t>
  </si>
  <si>
    <t xml:space="preserve">9960226208</t>
  </si>
  <si>
    <t xml:space="preserve">LEAD0126</t>
  </si>
  <si>
    <t xml:space="preserve">lead0126@example.com</t>
  </si>
  <si>
    <t xml:space="preserve">9429097422</t>
  </si>
  <si>
    <t xml:space="preserve">LEAD0127</t>
  </si>
  <si>
    <t xml:space="preserve">Simran Mishra</t>
  </si>
  <si>
    <t xml:space="preserve">lead0127@example.com</t>
  </si>
  <si>
    <t xml:space="preserve">9180574838</t>
  </si>
  <si>
    <t xml:space="preserve">LEAD0128</t>
  </si>
  <si>
    <t xml:space="preserve">Aarav Singh</t>
  </si>
  <si>
    <t xml:space="preserve">lead0128@example.com</t>
  </si>
  <si>
    <t xml:space="preserve">9134773472</t>
  </si>
  <si>
    <t xml:space="preserve">LEAD0129</t>
  </si>
  <si>
    <t xml:space="preserve">Tanya Verma</t>
  </si>
  <si>
    <t xml:space="preserve">lead0129@example.com</t>
  </si>
  <si>
    <t xml:space="preserve">9221814525</t>
  </si>
  <si>
    <t xml:space="preserve">LEAD0130</t>
  </si>
  <si>
    <t xml:space="preserve">Harsh Pandey</t>
  </si>
  <si>
    <t xml:space="preserve">lead0130@example.com</t>
  </si>
  <si>
    <t xml:space="preserve">9845156039</t>
  </si>
  <si>
    <t xml:space="preserve">LEAD0131</t>
  </si>
  <si>
    <t xml:space="preserve">Sneha Srivastava</t>
  </si>
  <si>
    <t xml:space="preserve">lead0131@example.com</t>
  </si>
  <si>
    <t xml:space="preserve">9443154754</t>
  </si>
  <si>
    <t xml:space="preserve">LEAD0132</t>
  </si>
  <si>
    <t xml:space="preserve">Muskan Kumar</t>
  </si>
  <si>
    <t xml:space="preserve">lead0132@example.com</t>
  </si>
  <si>
    <t xml:space="preserve">9950474042</t>
  </si>
  <si>
    <t xml:space="preserve">LEAD0133</t>
  </si>
  <si>
    <t xml:space="preserve">lead0133@example.com</t>
  </si>
  <si>
    <t xml:space="preserve">9869801588</t>
  </si>
  <si>
    <t xml:space="preserve">LEAD0134</t>
  </si>
  <si>
    <t xml:space="preserve">Rahul Patel</t>
  </si>
  <si>
    <t xml:space="preserve">lead0134@example.com</t>
  </si>
  <si>
    <t xml:space="preserve">9237798236</t>
  </si>
  <si>
    <t xml:space="preserve">LEAD0135</t>
  </si>
  <si>
    <t xml:space="preserve">Nidhi Srivastava</t>
  </si>
  <si>
    <t xml:space="preserve">lead0135@example.com</t>
  </si>
  <si>
    <t xml:space="preserve">9446454337</t>
  </si>
  <si>
    <t xml:space="preserve">LEAD0136</t>
  </si>
  <si>
    <t xml:space="preserve">Neha Gupta</t>
  </si>
  <si>
    <t xml:space="preserve">lead0136@example.com</t>
  </si>
  <si>
    <t xml:space="preserve">9735449477</t>
  </si>
  <si>
    <t xml:space="preserve">LEAD0137</t>
  </si>
  <si>
    <t xml:space="preserve">lead0137@example.com</t>
  </si>
  <si>
    <t xml:space="preserve">9148814238</t>
  </si>
  <si>
    <t xml:space="preserve">LEAD0138</t>
  </si>
  <si>
    <t xml:space="preserve">lead0138@example.com</t>
  </si>
  <si>
    <t xml:space="preserve">9419367188</t>
  </si>
  <si>
    <t xml:space="preserve">LEAD0139</t>
  </si>
  <si>
    <t xml:space="preserve">Khushi Mishra</t>
  </si>
  <si>
    <t xml:space="preserve">lead0139@example.com</t>
  </si>
  <si>
    <t xml:space="preserve">9470838810</t>
  </si>
  <si>
    <t xml:space="preserve">LEAD0140</t>
  </si>
  <si>
    <t xml:space="preserve">Ayush Gupta</t>
  </si>
  <si>
    <t xml:space="preserve">lead0140@example.com</t>
  </si>
  <si>
    <t xml:space="preserve">9203950725</t>
  </si>
  <si>
    <t xml:space="preserve">LEAD0141</t>
  </si>
  <si>
    <t xml:space="preserve">lead0141@example.com</t>
  </si>
  <si>
    <t xml:space="preserve">9652681586</t>
  </si>
  <si>
    <t xml:space="preserve">LEAD0142</t>
  </si>
  <si>
    <t xml:space="preserve">Arjun Pandey</t>
  </si>
  <si>
    <t xml:space="preserve">lead0142@example.com</t>
  </si>
  <si>
    <t xml:space="preserve">9631388604</t>
  </si>
  <si>
    <t xml:space="preserve">LEAD0143</t>
  </si>
  <si>
    <t xml:space="preserve">Varun Verma</t>
  </si>
  <si>
    <t xml:space="preserve">lead0143@example.com</t>
  </si>
  <si>
    <t xml:space="preserve">9492922240</t>
  </si>
  <si>
    <t xml:space="preserve">LEAD0144</t>
  </si>
  <si>
    <t xml:space="preserve">Simran Pandey</t>
  </si>
  <si>
    <t xml:space="preserve">lead0144@example.com</t>
  </si>
  <si>
    <t xml:space="preserve">9400347789</t>
  </si>
  <si>
    <t xml:space="preserve">LEAD0145</t>
  </si>
  <si>
    <t xml:space="preserve">Simran Sinha</t>
  </si>
  <si>
    <t xml:space="preserve">lead0145@example.com</t>
  </si>
  <si>
    <t xml:space="preserve">9141783553</t>
  </si>
  <si>
    <t xml:space="preserve">LEAD0146</t>
  </si>
  <si>
    <t xml:space="preserve">lead0146@example.com</t>
  </si>
  <si>
    <t xml:space="preserve">9893838119</t>
  </si>
  <si>
    <t xml:space="preserve">LEAD0147</t>
  </si>
  <si>
    <t xml:space="preserve">Ishita Yadav</t>
  </si>
  <si>
    <t xml:space="preserve">lead0147@example.com</t>
  </si>
  <si>
    <t xml:space="preserve">9955508961</t>
  </si>
  <si>
    <t xml:space="preserve">LEAD0148</t>
  </si>
  <si>
    <t xml:space="preserve">Shreya Sinha</t>
  </si>
  <si>
    <t xml:space="preserve">lead0148@example.com</t>
  </si>
  <si>
    <t xml:space="preserve">9931726993</t>
  </si>
  <si>
    <t xml:space="preserve">LEAD0149</t>
  </si>
  <si>
    <t xml:space="preserve">Riya Sharma</t>
  </si>
  <si>
    <t xml:space="preserve">lead0149@example.com</t>
  </si>
  <si>
    <t xml:space="preserve">9756569565</t>
  </si>
  <si>
    <t xml:space="preserve">LEAD0150</t>
  </si>
  <si>
    <t xml:space="preserve">lead0150@example.com</t>
  </si>
  <si>
    <t xml:space="preserve">9480412754</t>
  </si>
  <si>
    <t xml:space="preserve">LEAD0151</t>
  </si>
  <si>
    <t xml:space="preserve">Karan Kumar</t>
  </si>
  <si>
    <t xml:space="preserve">lead0151@example.com</t>
  </si>
  <si>
    <t xml:space="preserve">9841139461</t>
  </si>
  <si>
    <t xml:space="preserve">LEAD0152</t>
  </si>
  <si>
    <t xml:space="preserve">lead0152@example.com</t>
  </si>
  <si>
    <t xml:space="preserve">9145168545</t>
  </si>
  <si>
    <t xml:space="preserve">LEAD0153</t>
  </si>
  <si>
    <t xml:space="preserve">lead0153@example.com</t>
  </si>
  <si>
    <t xml:space="preserve">9391651334</t>
  </si>
  <si>
    <t xml:space="preserve">LEAD0154</t>
  </si>
  <si>
    <t xml:space="preserve">lead0154@example.com</t>
  </si>
  <si>
    <t xml:space="preserve">9831424323</t>
  </si>
  <si>
    <t xml:space="preserve">LEAD0155</t>
  </si>
  <si>
    <t xml:space="preserve">Khushi Jain</t>
  </si>
  <si>
    <t xml:space="preserve">lead0155@example.com</t>
  </si>
  <si>
    <t xml:space="preserve">9716470999</t>
  </si>
  <si>
    <t xml:space="preserve">LEAD0156</t>
  </si>
  <si>
    <t xml:space="preserve">Harsh Srivastava</t>
  </si>
  <si>
    <t xml:space="preserve">lead0156@example.com</t>
  </si>
  <si>
    <t xml:space="preserve">9140229006</t>
  </si>
  <si>
    <t xml:space="preserve">LEAD0157</t>
  </si>
  <si>
    <t xml:space="preserve">Shreya Pandey</t>
  </si>
  <si>
    <t xml:space="preserve">lead0157@example.com</t>
  </si>
  <si>
    <t xml:space="preserve">9455069350</t>
  </si>
  <si>
    <t xml:space="preserve">LEAD0158</t>
  </si>
  <si>
    <t xml:space="preserve">Aarav Agarwal</t>
  </si>
  <si>
    <t xml:space="preserve">lead0158@example.com</t>
  </si>
  <si>
    <t xml:space="preserve">9535391971</t>
  </si>
  <si>
    <t xml:space="preserve">LEAD0159</t>
  </si>
  <si>
    <t xml:space="preserve">lead0159@example.com</t>
  </si>
  <si>
    <t xml:space="preserve">9453932473</t>
  </si>
  <si>
    <t xml:space="preserve">LEAD0160</t>
  </si>
  <si>
    <t xml:space="preserve">Ishita Gupta</t>
  </si>
  <si>
    <t xml:space="preserve">lead0160@example.com</t>
  </si>
  <si>
    <t xml:space="preserve">9855438611</t>
  </si>
  <si>
    <t xml:space="preserve">LEAD0161</t>
  </si>
  <si>
    <t xml:space="preserve">Aman Gupta</t>
  </si>
  <si>
    <t xml:space="preserve">lead0161@example.com</t>
  </si>
  <si>
    <t xml:space="preserve">9546510829</t>
  </si>
  <si>
    <t xml:space="preserve">LEAD0162</t>
  </si>
  <si>
    <t xml:space="preserve">lead0162@example.com</t>
  </si>
  <si>
    <t xml:space="preserve">9183862154</t>
  </si>
  <si>
    <t xml:space="preserve">LEAD0163</t>
  </si>
  <si>
    <t xml:space="preserve">Sakshi Pandey</t>
  </si>
  <si>
    <t xml:space="preserve">lead0163@example.com</t>
  </si>
  <si>
    <t xml:space="preserve">9869784803</t>
  </si>
  <si>
    <t xml:space="preserve">LEAD0164</t>
  </si>
  <si>
    <t xml:space="preserve">lead0164@example.com</t>
  </si>
  <si>
    <t xml:space="preserve">9525146690</t>
  </si>
  <si>
    <t xml:space="preserve">LEAD0165</t>
  </si>
  <si>
    <t xml:space="preserve">Aditya Mehta</t>
  </si>
  <si>
    <t xml:space="preserve">lead0165@example.com</t>
  </si>
  <si>
    <t xml:space="preserve">9606882594</t>
  </si>
  <si>
    <t xml:space="preserve">LEAD0166</t>
  </si>
  <si>
    <t xml:space="preserve">Simran Srivastava</t>
  </si>
  <si>
    <t xml:space="preserve">lead0166@example.com</t>
  </si>
  <si>
    <t xml:space="preserve">9679069250</t>
  </si>
  <si>
    <t xml:space="preserve">LEAD0167</t>
  </si>
  <si>
    <t xml:space="preserve">Nidhi Singh</t>
  </si>
  <si>
    <t xml:space="preserve">lead0167@example.com</t>
  </si>
  <si>
    <t xml:space="preserve">9597146648</t>
  </si>
  <si>
    <t xml:space="preserve">LEAD0168</t>
  </si>
  <si>
    <t xml:space="preserve">Karan Mishra</t>
  </si>
  <si>
    <t xml:space="preserve">lead0168@example.com</t>
  </si>
  <si>
    <t xml:space="preserve">9221166014</t>
  </si>
  <si>
    <t xml:space="preserve">LEAD0169</t>
  </si>
  <si>
    <t xml:space="preserve">lead0169@example.com</t>
  </si>
  <si>
    <t xml:space="preserve">9362781292</t>
  </si>
  <si>
    <t xml:space="preserve">LEAD0170</t>
  </si>
  <si>
    <t xml:space="preserve">Tanya Rathore</t>
  </si>
  <si>
    <t xml:space="preserve">lead0170@example.com</t>
  </si>
  <si>
    <t xml:space="preserve">9442420233</t>
  </si>
  <si>
    <t xml:space="preserve">LEAD0171</t>
  </si>
  <si>
    <t xml:space="preserve">lead0171@example.com</t>
  </si>
  <si>
    <t xml:space="preserve">9772155012</t>
  </si>
  <si>
    <t xml:space="preserve">LEAD0172</t>
  </si>
  <si>
    <t xml:space="preserve">Sahil Pandey</t>
  </si>
  <si>
    <t xml:space="preserve">lead0172@example.com</t>
  </si>
  <si>
    <t xml:space="preserve">9422913264</t>
  </si>
  <si>
    <t xml:space="preserve">LEAD0173</t>
  </si>
  <si>
    <t xml:space="preserve">Pooja Pandey</t>
  </si>
  <si>
    <t xml:space="preserve">lead0173@example.com</t>
  </si>
  <si>
    <t xml:space="preserve">9184901228</t>
  </si>
  <si>
    <t xml:space="preserve">LEAD0174</t>
  </si>
  <si>
    <t xml:space="preserve">lead0174@example.com</t>
  </si>
  <si>
    <t xml:space="preserve">9917865301</t>
  </si>
  <si>
    <t xml:space="preserve">LEAD0175</t>
  </si>
  <si>
    <t xml:space="preserve">Rohan Srivastava</t>
  </si>
  <si>
    <t xml:space="preserve">lead0175@example.com</t>
  </si>
  <si>
    <t xml:space="preserve">9909956465</t>
  </si>
  <si>
    <t xml:space="preserve">LEAD0176</t>
  </si>
  <si>
    <t xml:space="preserve">lead0176@example.com</t>
  </si>
  <si>
    <t xml:space="preserve">9962017778</t>
  </si>
  <si>
    <t xml:space="preserve">LEAD0177</t>
  </si>
  <si>
    <t xml:space="preserve">Pooja Sharma</t>
  </si>
  <si>
    <t xml:space="preserve">lead0177@example.com</t>
  </si>
  <si>
    <t xml:space="preserve">9727099478</t>
  </si>
  <si>
    <t xml:space="preserve">LEAD0178</t>
  </si>
  <si>
    <t xml:space="preserve">lead0178@example.com</t>
  </si>
  <si>
    <t xml:space="preserve">9919652226</t>
  </si>
  <si>
    <t xml:space="preserve">LEAD0179</t>
  </si>
  <si>
    <t xml:space="preserve">lead0179@example.com</t>
  </si>
  <si>
    <t xml:space="preserve">9179811669</t>
  </si>
  <si>
    <t xml:space="preserve">LEAD0180</t>
  </si>
  <si>
    <t xml:space="preserve">Ananya Agarwal</t>
  </si>
  <si>
    <t xml:space="preserve">lead0180@example.com</t>
  </si>
  <si>
    <t xml:space="preserve">9164907817</t>
  </si>
  <si>
    <t xml:space="preserve">LEAD0181</t>
  </si>
  <si>
    <t xml:space="preserve">Aarav Pandey</t>
  </si>
  <si>
    <t xml:space="preserve">lead0181@example.com</t>
  </si>
  <si>
    <t xml:space="preserve">9973120912</t>
  </si>
  <si>
    <t xml:space="preserve">LEAD0182</t>
  </si>
  <si>
    <t xml:space="preserve">lead0182@example.com</t>
  </si>
  <si>
    <t xml:space="preserve">9387037751</t>
  </si>
  <si>
    <t xml:space="preserve">LEAD0183</t>
  </si>
  <si>
    <t xml:space="preserve">lead0183@example.com</t>
  </si>
  <si>
    <t xml:space="preserve">9200395400</t>
  </si>
  <si>
    <t xml:space="preserve">LEAD0184</t>
  </si>
  <si>
    <t xml:space="preserve">Shreya Sharma</t>
  </si>
  <si>
    <t xml:space="preserve">lead0184@example.com</t>
  </si>
  <si>
    <t xml:space="preserve">9455699119</t>
  </si>
  <si>
    <t xml:space="preserve">LEAD0185</t>
  </si>
  <si>
    <t xml:space="preserve">Riya Srivastava</t>
  </si>
  <si>
    <t xml:space="preserve">lead0185@example.com</t>
  </si>
  <si>
    <t xml:space="preserve">9292580427</t>
  </si>
  <si>
    <t xml:space="preserve">LEAD0186</t>
  </si>
  <si>
    <t xml:space="preserve">lead0186@example.com</t>
  </si>
  <si>
    <t xml:space="preserve">9456192204</t>
  </si>
  <si>
    <t xml:space="preserve">LEAD0187</t>
  </si>
  <si>
    <t xml:space="preserve">Nidhi Agarwal</t>
  </si>
  <si>
    <t xml:space="preserve">lead0187@example.com</t>
  </si>
  <si>
    <t xml:space="preserve">9181623972</t>
  </si>
  <si>
    <t xml:space="preserve">LEAD0188</t>
  </si>
  <si>
    <t xml:space="preserve">Shreya Kumar</t>
  </si>
  <si>
    <t xml:space="preserve">lead0188@example.com</t>
  </si>
  <si>
    <t xml:space="preserve">9508099975</t>
  </si>
  <si>
    <t xml:space="preserve">LEAD0189</t>
  </si>
  <si>
    <t xml:space="preserve">Ananya Kumar</t>
  </si>
  <si>
    <t xml:space="preserve">lead0189@example.com</t>
  </si>
  <si>
    <t xml:space="preserve">9430999662</t>
  </si>
  <si>
    <t xml:space="preserve">LEAD0190</t>
  </si>
  <si>
    <t xml:space="preserve">Sneha Mehta</t>
  </si>
  <si>
    <t xml:space="preserve">lead0190@example.com</t>
  </si>
  <si>
    <t xml:space="preserve">9113250637</t>
  </si>
  <si>
    <t xml:space="preserve">LEAD0191</t>
  </si>
  <si>
    <t xml:space="preserve">lead0191@example.com</t>
  </si>
  <si>
    <t xml:space="preserve">9396311802</t>
  </si>
  <si>
    <t xml:space="preserve">LEAD0192</t>
  </si>
  <si>
    <t xml:space="preserve">lead0192@example.com</t>
  </si>
  <si>
    <t xml:space="preserve">9765926290</t>
  </si>
  <si>
    <t xml:space="preserve">LEAD0193</t>
  </si>
  <si>
    <t xml:space="preserve">Mehak Rathore</t>
  </si>
  <si>
    <t xml:space="preserve">lead0193@example.com</t>
  </si>
  <si>
    <t xml:space="preserve">9437351729</t>
  </si>
  <si>
    <t xml:space="preserve">LEAD0194</t>
  </si>
  <si>
    <t xml:space="preserve">Sakshi Sinha</t>
  </si>
  <si>
    <t xml:space="preserve">lead0194@example.com</t>
  </si>
  <si>
    <t xml:space="preserve">9314533665</t>
  </si>
  <si>
    <t xml:space="preserve">LEAD0195</t>
  </si>
  <si>
    <t xml:space="preserve">lead0195@example.com</t>
  </si>
  <si>
    <t xml:space="preserve">9822604249</t>
  </si>
  <si>
    <t xml:space="preserve">LEAD0196</t>
  </si>
  <si>
    <t xml:space="preserve">lead0196@example.com</t>
  </si>
  <si>
    <t xml:space="preserve">9530361198</t>
  </si>
  <si>
    <t xml:space="preserve">LEAD0197</t>
  </si>
  <si>
    <t xml:space="preserve">Ishita Srivastava</t>
  </si>
  <si>
    <t xml:space="preserve">lead0197@example.com</t>
  </si>
  <si>
    <t xml:space="preserve">9813709631</t>
  </si>
  <si>
    <t xml:space="preserve">LEAD0198</t>
  </si>
  <si>
    <t xml:space="preserve">lead0198@example.com</t>
  </si>
  <si>
    <t xml:space="preserve">9648334433</t>
  </si>
  <si>
    <t xml:space="preserve">LEAD0199</t>
  </si>
  <si>
    <t xml:space="preserve">lead0199@example.com</t>
  </si>
  <si>
    <t xml:space="preserve">9546650213</t>
  </si>
  <si>
    <t xml:space="preserve">LEAD0200</t>
  </si>
  <si>
    <t xml:space="preserve">lead0200@example.com</t>
  </si>
  <si>
    <t xml:space="preserve">9969930526</t>
  </si>
  <si>
    <t xml:space="preserve">LEAD0201</t>
  </si>
  <si>
    <t xml:space="preserve">Vivek Sinha</t>
  </si>
  <si>
    <t xml:space="preserve">lead0201@example.com</t>
  </si>
  <si>
    <t xml:space="preserve">9596126873</t>
  </si>
  <si>
    <t xml:space="preserve">LEAD0202</t>
  </si>
  <si>
    <t xml:space="preserve">Shreya Jain</t>
  </si>
  <si>
    <t xml:space="preserve">lead0202@example.com</t>
  </si>
  <si>
    <t xml:space="preserve">9320959407</t>
  </si>
  <si>
    <t xml:space="preserve">LEAD0203</t>
  </si>
  <si>
    <t xml:space="preserve">Simran Patel</t>
  </si>
  <si>
    <t xml:space="preserve">lead0203@example.com</t>
  </si>
  <si>
    <t xml:space="preserve">9517298229</t>
  </si>
  <si>
    <t xml:space="preserve">LEAD0204</t>
  </si>
  <si>
    <t xml:space="preserve">Aman Singh</t>
  </si>
  <si>
    <t xml:space="preserve">lead0204@example.com</t>
  </si>
  <si>
    <t xml:space="preserve">9427899285</t>
  </si>
  <si>
    <t xml:space="preserve">LEAD0205</t>
  </si>
  <si>
    <t xml:space="preserve">Pooja Yadav</t>
  </si>
  <si>
    <t xml:space="preserve">lead0205@example.com</t>
  </si>
  <si>
    <t xml:space="preserve">9286009450</t>
  </si>
  <si>
    <t xml:space="preserve">LEAD0206</t>
  </si>
  <si>
    <t xml:space="preserve">lead0206@example.com</t>
  </si>
  <si>
    <t xml:space="preserve">9620344871</t>
  </si>
  <si>
    <t xml:space="preserve">LEAD0207</t>
  </si>
  <si>
    <t xml:space="preserve">Pooja Jain</t>
  </si>
  <si>
    <t xml:space="preserve">lead0207@example.com</t>
  </si>
  <si>
    <t xml:space="preserve">9413629152</t>
  </si>
  <si>
    <t xml:space="preserve">LEAD0208</t>
  </si>
  <si>
    <t xml:space="preserve">Tanya Mishra</t>
  </si>
  <si>
    <t xml:space="preserve">lead0208@example.com</t>
  </si>
  <si>
    <t xml:space="preserve">9493914829</t>
  </si>
  <si>
    <t xml:space="preserve">LEAD0209</t>
  </si>
  <si>
    <t xml:space="preserve">Abhishek Gupta</t>
  </si>
  <si>
    <t xml:space="preserve">lead0209@example.com</t>
  </si>
  <si>
    <t xml:space="preserve">9365785059</t>
  </si>
  <si>
    <t xml:space="preserve">LEAD0210</t>
  </si>
  <si>
    <t xml:space="preserve">Varun Rathore</t>
  </si>
  <si>
    <t xml:space="preserve">lead0210@example.com</t>
  </si>
  <si>
    <t xml:space="preserve">9839951555</t>
  </si>
  <si>
    <t xml:space="preserve">LEAD0211</t>
  </si>
  <si>
    <t xml:space="preserve">Sahil Gupta</t>
  </si>
  <si>
    <t xml:space="preserve">lead0211@example.com</t>
  </si>
  <si>
    <t xml:space="preserve">9678498324</t>
  </si>
  <si>
    <t xml:space="preserve">LEAD0212</t>
  </si>
  <si>
    <t xml:space="preserve">lead0212@example.com</t>
  </si>
  <si>
    <t xml:space="preserve">9541948074</t>
  </si>
  <si>
    <t xml:space="preserve">LEAD0213</t>
  </si>
  <si>
    <t xml:space="preserve">Rahul Agarwal</t>
  </si>
  <si>
    <t xml:space="preserve">lead0213@example.com</t>
  </si>
  <si>
    <t xml:space="preserve">9779036456</t>
  </si>
  <si>
    <t xml:space="preserve">LEAD0214</t>
  </si>
  <si>
    <t xml:space="preserve">lead0214@example.com</t>
  </si>
  <si>
    <t xml:space="preserve">9724870012</t>
  </si>
  <si>
    <t xml:space="preserve">LEAD0215</t>
  </si>
  <si>
    <t xml:space="preserve">lead0215@example.com</t>
  </si>
  <si>
    <t xml:space="preserve">9462661837</t>
  </si>
  <si>
    <t xml:space="preserve">LEAD0216</t>
  </si>
  <si>
    <t xml:space="preserve">Muskan Jain</t>
  </si>
  <si>
    <t xml:space="preserve">lead0216@example.com</t>
  </si>
  <si>
    <t xml:space="preserve">9593472161</t>
  </si>
  <si>
    <t xml:space="preserve">LEAD0217</t>
  </si>
  <si>
    <t xml:space="preserve">Pooja Gupta</t>
  </si>
  <si>
    <t xml:space="preserve">lead0217@example.com</t>
  </si>
  <si>
    <t xml:space="preserve">9200223044</t>
  </si>
  <si>
    <t xml:space="preserve">LEAD0218</t>
  </si>
  <si>
    <t xml:space="preserve">lead0218@example.com</t>
  </si>
  <si>
    <t xml:space="preserve">9101166414</t>
  </si>
  <si>
    <t xml:space="preserve">LEAD0219</t>
  </si>
  <si>
    <t xml:space="preserve">lead0219@example.com</t>
  </si>
  <si>
    <t xml:space="preserve">9229486590</t>
  </si>
  <si>
    <t xml:space="preserve">LEAD0220</t>
  </si>
  <si>
    <t xml:space="preserve">Arjun Verma</t>
  </si>
  <si>
    <t xml:space="preserve">lead0220@example.com</t>
  </si>
  <si>
    <t xml:space="preserve">9510943598</t>
  </si>
  <si>
    <t xml:space="preserve">LEAD0221</t>
  </si>
  <si>
    <t xml:space="preserve">lead0221@example.com</t>
  </si>
  <si>
    <t xml:space="preserve">9575006056</t>
  </si>
  <si>
    <t xml:space="preserve">LEAD0222</t>
  </si>
  <si>
    <t xml:space="preserve">Simran Mehta</t>
  </si>
  <si>
    <t xml:space="preserve">lead0222@example.com</t>
  </si>
  <si>
    <t xml:space="preserve">9744253537</t>
  </si>
  <si>
    <t xml:space="preserve">LEAD0223</t>
  </si>
  <si>
    <t xml:space="preserve">lead0223@example.com</t>
  </si>
  <si>
    <t xml:space="preserve">9793819512</t>
  </si>
  <si>
    <t xml:space="preserve">LEAD0224</t>
  </si>
  <si>
    <t xml:space="preserve">lead0224@example.com</t>
  </si>
  <si>
    <t xml:space="preserve">9439809925</t>
  </si>
  <si>
    <t xml:space="preserve">LEAD0225</t>
  </si>
  <si>
    <t xml:space="preserve">lead0225@example.com</t>
  </si>
  <si>
    <t xml:space="preserve">9331652222</t>
  </si>
  <si>
    <t xml:space="preserve">LEAD0226</t>
  </si>
  <si>
    <t xml:space="preserve">lead0226@example.com</t>
  </si>
  <si>
    <t xml:space="preserve">9397928718</t>
  </si>
  <si>
    <t xml:space="preserve">LEAD0227</t>
  </si>
  <si>
    <t xml:space="preserve">lead0227@example.com</t>
  </si>
  <si>
    <t xml:space="preserve">9162176039</t>
  </si>
  <si>
    <t xml:space="preserve">LEAD0228</t>
  </si>
  <si>
    <t xml:space="preserve">Rohan Jain</t>
  </si>
  <si>
    <t xml:space="preserve">lead0228@example.com</t>
  </si>
  <si>
    <t xml:space="preserve">9275913951</t>
  </si>
  <si>
    <t xml:space="preserve">LEAD0229</t>
  </si>
  <si>
    <t xml:space="preserve">Yash Sinha</t>
  </si>
  <si>
    <t xml:space="preserve">lead0229@example.com</t>
  </si>
  <si>
    <t xml:space="preserve">9966625455</t>
  </si>
  <si>
    <t xml:space="preserve">LEAD0230</t>
  </si>
  <si>
    <t xml:space="preserve">lead0230@example.com</t>
  </si>
  <si>
    <t xml:space="preserve">9930355646</t>
  </si>
  <si>
    <t xml:space="preserve">LEAD0231</t>
  </si>
  <si>
    <t xml:space="preserve">Aditya Rathore</t>
  </si>
  <si>
    <t xml:space="preserve">lead0231@example.com</t>
  </si>
  <si>
    <t xml:space="preserve">9137971349</t>
  </si>
  <si>
    <t xml:space="preserve">LEAD0232</t>
  </si>
  <si>
    <t xml:space="preserve">Pooja Srivastava</t>
  </si>
  <si>
    <t xml:space="preserve">lead0232@example.com</t>
  </si>
  <si>
    <t xml:space="preserve">9156556289</t>
  </si>
  <si>
    <t xml:space="preserve">LEAD0233</t>
  </si>
  <si>
    <t xml:space="preserve">Varun Kumar</t>
  </si>
  <si>
    <t xml:space="preserve">lead0233@example.com</t>
  </si>
  <si>
    <t xml:space="preserve">9894113665</t>
  </si>
  <si>
    <t xml:space="preserve">LEAD0234</t>
  </si>
  <si>
    <t xml:space="preserve">lead0234@example.com</t>
  </si>
  <si>
    <t xml:space="preserve">9681479730</t>
  </si>
  <si>
    <t xml:space="preserve">LEAD0235</t>
  </si>
  <si>
    <t xml:space="preserve">Varun Agarwal</t>
  </si>
  <si>
    <t xml:space="preserve">lead0235@example.com</t>
  </si>
  <si>
    <t xml:space="preserve">9550773824</t>
  </si>
  <si>
    <t xml:space="preserve">LEAD0236</t>
  </si>
  <si>
    <t xml:space="preserve">Aditya Srivastava</t>
  </si>
  <si>
    <t xml:space="preserve">lead0236@example.com</t>
  </si>
  <si>
    <t xml:space="preserve">9243359401</t>
  </si>
  <si>
    <t xml:space="preserve">LEAD0237</t>
  </si>
  <si>
    <t xml:space="preserve">lead0237@example.com</t>
  </si>
  <si>
    <t xml:space="preserve">9521929719</t>
  </si>
  <si>
    <t xml:space="preserve">LEAD0238</t>
  </si>
  <si>
    <t xml:space="preserve">lead0238@example.com</t>
  </si>
  <si>
    <t xml:space="preserve">9582718617</t>
  </si>
  <si>
    <t xml:space="preserve">LEAD0239</t>
  </si>
  <si>
    <t xml:space="preserve">lead0239@example.com</t>
  </si>
  <si>
    <t xml:space="preserve">9426648350</t>
  </si>
  <si>
    <t xml:space="preserve">LEAD0240</t>
  </si>
  <si>
    <t xml:space="preserve">lead0240@example.com</t>
  </si>
  <si>
    <t xml:space="preserve">9133374137</t>
  </si>
  <si>
    <t xml:space="preserve">LEAD0241</t>
  </si>
  <si>
    <t xml:space="preserve">Priya Mishra</t>
  </si>
  <si>
    <t xml:space="preserve">lead0241@example.com</t>
  </si>
  <si>
    <t xml:space="preserve">9338680070</t>
  </si>
  <si>
    <t xml:space="preserve">LEAD0242</t>
  </si>
  <si>
    <t xml:space="preserve">Sakshi Yadav</t>
  </si>
  <si>
    <t xml:space="preserve">lead0242@example.com</t>
  </si>
  <si>
    <t xml:space="preserve">9793623149</t>
  </si>
  <si>
    <t xml:space="preserve">LEAD0243</t>
  </si>
  <si>
    <t xml:space="preserve">lead0243@example.com</t>
  </si>
  <si>
    <t xml:space="preserve">9131656371</t>
  </si>
  <si>
    <t xml:space="preserve">LEAD0244</t>
  </si>
  <si>
    <t xml:space="preserve">Harsh Singh</t>
  </si>
  <si>
    <t xml:space="preserve">lead0244@example.com</t>
  </si>
  <si>
    <t xml:space="preserve">9635680789</t>
  </si>
  <si>
    <t xml:space="preserve">LEAD0245</t>
  </si>
  <si>
    <t xml:space="preserve">Arjun Singh</t>
  </si>
  <si>
    <t xml:space="preserve">lead0245@example.com</t>
  </si>
  <si>
    <t xml:space="preserve">9961321417</t>
  </si>
  <si>
    <t xml:space="preserve">LEAD0246</t>
  </si>
  <si>
    <t xml:space="preserve">lead0246@example.com</t>
  </si>
  <si>
    <t xml:space="preserve">9741148802</t>
  </si>
  <si>
    <t xml:space="preserve">LEAD0247</t>
  </si>
  <si>
    <t xml:space="preserve">Tanya Yadav</t>
  </si>
  <si>
    <t xml:space="preserve">lead0247@example.com</t>
  </si>
  <si>
    <t xml:space="preserve">9920392140</t>
  </si>
  <si>
    <t xml:space="preserve">LEAD0248</t>
  </si>
  <si>
    <t xml:space="preserve">Karan Yadav</t>
  </si>
  <si>
    <t xml:space="preserve">lead0248@example.com</t>
  </si>
  <si>
    <t xml:space="preserve">9705167856</t>
  </si>
  <si>
    <t xml:space="preserve">LEAD0249</t>
  </si>
  <si>
    <t xml:space="preserve">lead0249@example.com</t>
  </si>
  <si>
    <t xml:space="preserve">9121397518</t>
  </si>
  <si>
    <t xml:space="preserve">LEAD0250</t>
  </si>
  <si>
    <t xml:space="preserve">Sahil Singh</t>
  </si>
  <si>
    <t xml:space="preserve">lead0250@example.com</t>
  </si>
  <si>
    <t xml:space="preserve">9123528797</t>
  </si>
  <si>
    <t xml:space="preserve">LEAD0251</t>
  </si>
  <si>
    <t xml:space="preserve">lead0251@example.com</t>
  </si>
  <si>
    <t xml:space="preserve">9569083854</t>
  </si>
  <si>
    <t xml:space="preserve">LEAD0252</t>
  </si>
  <si>
    <t xml:space="preserve">Karan Jain</t>
  </si>
  <si>
    <t xml:space="preserve">lead0252@example.com</t>
  </si>
  <si>
    <t xml:space="preserve">9290812817</t>
  </si>
  <si>
    <t xml:space="preserve">LEAD0253</t>
  </si>
  <si>
    <t xml:space="preserve">Sneha Yadav</t>
  </si>
  <si>
    <t xml:space="preserve">lead0253@example.com</t>
  </si>
  <si>
    <t xml:space="preserve">9455589390</t>
  </si>
  <si>
    <t xml:space="preserve">LEAD0254</t>
  </si>
  <si>
    <t xml:space="preserve">lead0254@example.com</t>
  </si>
  <si>
    <t xml:space="preserve">9375584366</t>
  </si>
  <si>
    <t xml:space="preserve">LEAD0255</t>
  </si>
  <si>
    <t xml:space="preserve">Yash Mehta</t>
  </si>
  <si>
    <t xml:space="preserve">lead0255@example.com</t>
  </si>
  <si>
    <t xml:space="preserve">9720682356</t>
  </si>
  <si>
    <t xml:space="preserve">LEAD0256</t>
  </si>
  <si>
    <t xml:space="preserve">Sahil Rathore</t>
  </si>
  <si>
    <t xml:space="preserve">lead0256@example.com</t>
  </si>
  <si>
    <t xml:space="preserve">9503144836</t>
  </si>
  <si>
    <t xml:space="preserve">LEAD0257</t>
  </si>
  <si>
    <t xml:space="preserve">lead0257@example.com</t>
  </si>
  <si>
    <t xml:space="preserve">9566219118</t>
  </si>
  <si>
    <t xml:space="preserve">LEAD0258</t>
  </si>
  <si>
    <t xml:space="preserve">lead0258@example.com</t>
  </si>
  <si>
    <t xml:space="preserve">9690195758</t>
  </si>
  <si>
    <t xml:space="preserve">LEAD0259</t>
  </si>
  <si>
    <t xml:space="preserve">lead0259@example.com</t>
  </si>
  <si>
    <t xml:space="preserve">9431091936</t>
  </si>
  <si>
    <t xml:space="preserve">LEAD0260</t>
  </si>
  <si>
    <t xml:space="preserve">lead0260@example.com</t>
  </si>
  <si>
    <t xml:space="preserve">9382711894</t>
  </si>
  <si>
    <t xml:space="preserve">LEAD0261</t>
  </si>
  <si>
    <t xml:space="preserve">Rahul Sinha</t>
  </si>
  <si>
    <t xml:space="preserve">lead0261@example.com</t>
  </si>
  <si>
    <t xml:space="preserve">9681376445</t>
  </si>
  <si>
    <t xml:space="preserve">LEAD0262</t>
  </si>
  <si>
    <t xml:space="preserve">Mehak Pandey</t>
  </si>
  <si>
    <t xml:space="preserve">lead0262@example.com</t>
  </si>
  <si>
    <t xml:space="preserve">9639127345</t>
  </si>
  <si>
    <t xml:space="preserve">LEAD0263</t>
  </si>
  <si>
    <t xml:space="preserve">Sneha Gupta</t>
  </si>
  <si>
    <t xml:space="preserve">lead0263@example.com</t>
  </si>
  <si>
    <t xml:space="preserve">9316809172</t>
  </si>
  <si>
    <t xml:space="preserve">LEAD0264</t>
  </si>
  <si>
    <t xml:space="preserve">lead0264@example.com</t>
  </si>
  <si>
    <t xml:space="preserve">9852061786</t>
  </si>
  <si>
    <t xml:space="preserve">LEAD0265</t>
  </si>
  <si>
    <t xml:space="preserve">lead0265@example.com</t>
  </si>
  <si>
    <t xml:space="preserve">9208437656</t>
  </si>
  <si>
    <t xml:space="preserve">LEAD0266</t>
  </si>
  <si>
    <t xml:space="preserve">Shreya Mishra</t>
  </si>
  <si>
    <t xml:space="preserve">lead0266@example.com</t>
  </si>
  <si>
    <t xml:space="preserve">9524979220</t>
  </si>
  <si>
    <t xml:space="preserve">LEAD0267</t>
  </si>
  <si>
    <t xml:space="preserve">Harsh Kumar</t>
  </si>
  <si>
    <t xml:space="preserve">lead0267@example.com</t>
  </si>
  <si>
    <t xml:space="preserve">9401019924</t>
  </si>
  <si>
    <t xml:space="preserve">LEAD0268</t>
  </si>
  <si>
    <t xml:space="preserve">Rohan Agarwal</t>
  </si>
  <si>
    <t xml:space="preserve">lead0268@example.com</t>
  </si>
  <si>
    <t xml:space="preserve">9984730446</t>
  </si>
  <si>
    <t xml:space="preserve">LEAD0269</t>
  </si>
  <si>
    <t xml:space="preserve">Mehak Sharma</t>
  </si>
  <si>
    <t xml:space="preserve">lead0269@example.com</t>
  </si>
  <si>
    <t xml:space="preserve">9938073130</t>
  </si>
  <si>
    <t xml:space="preserve">LEAD0270</t>
  </si>
  <si>
    <t xml:space="preserve">lead0270@example.com</t>
  </si>
  <si>
    <t xml:space="preserve">9394181098</t>
  </si>
  <si>
    <t xml:space="preserve">LEAD0271</t>
  </si>
  <si>
    <t xml:space="preserve">Vivek Sharma</t>
  </si>
  <si>
    <t xml:space="preserve">lead0271@example.com</t>
  </si>
  <si>
    <t xml:space="preserve">9691990078</t>
  </si>
  <si>
    <t xml:space="preserve">LEAD0272</t>
  </si>
  <si>
    <t xml:space="preserve">lead0272@example.com</t>
  </si>
  <si>
    <t xml:space="preserve">9330122826</t>
  </si>
  <si>
    <t xml:space="preserve">LEAD0273</t>
  </si>
  <si>
    <t xml:space="preserve">lead0273@example.com</t>
  </si>
  <si>
    <t xml:space="preserve">9832506384</t>
  </si>
  <si>
    <t xml:space="preserve">LEAD0274</t>
  </si>
  <si>
    <t xml:space="preserve">lead0274@example.com</t>
  </si>
  <si>
    <t xml:space="preserve">9474423649</t>
  </si>
  <si>
    <t xml:space="preserve">LEAD0275</t>
  </si>
  <si>
    <t xml:space="preserve">Sakshi Verma</t>
  </si>
  <si>
    <t xml:space="preserve">lead0275@example.com</t>
  </si>
  <si>
    <t xml:space="preserve">9168544512</t>
  </si>
  <si>
    <t xml:space="preserve">LEAD0276</t>
  </si>
  <si>
    <t xml:space="preserve">Shreya Agarwal</t>
  </si>
  <si>
    <t xml:space="preserve">lead0276@example.com</t>
  </si>
  <si>
    <t xml:space="preserve">9961531511</t>
  </si>
  <si>
    <t xml:space="preserve">LEAD0277</t>
  </si>
  <si>
    <t xml:space="preserve">lead0277@example.com</t>
  </si>
  <si>
    <t xml:space="preserve">9714225883</t>
  </si>
  <si>
    <t xml:space="preserve">LEAD0278</t>
  </si>
  <si>
    <t xml:space="preserve">Harsh Jain</t>
  </si>
  <si>
    <t xml:space="preserve">lead0278@example.com</t>
  </si>
  <si>
    <t xml:space="preserve">9204800493</t>
  </si>
  <si>
    <t xml:space="preserve">LEAD0279</t>
  </si>
  <si>
    <t xml:space="preserve">lead0279@example.com</t>
  </si>
  <si>
    <t xml:space="preserve">9429730298</t>
  </si>
  <si>
    <t xml:space="preserve">LEAD0280</t>
  </si>
  <si>
    <t xml:space="preserve">Kartik Rathore</t>
  </si>
  <si>
    <t xml:space="preserve">lead0280@example.com</t>
  </si>
  <si>
    <t xml:space="preserve">9637383490</t>
  </si>
  <si>
    <t xml:space="preserve">LEAD0281</t>
  </si>
  <si>
    <t xml:space="preserve">lead0281@example.com</t>
  </si>
  <si>
    <t xml:space="preserve">9253785761</t>
  </si>
  <si>
    <t xml:space="preserve">LEAD0282</t>
  </si>
  <si>
    <t xml:space="preserve">Ayush Jain</t>
  </si>
  <si>
    <t xml:space="preserve">lead0282@example.com</t>
  </si>
  <si>
    <t xml:space="preserve">9281039053</t>
  </si>
  <si>
    <t xml:space="preserve">LEAD0283</t>
  </si>
  <si>
    <t xml:space="preserve">Aman Mehta</t>
  </si>
  <si>
    <t xml:space="preserve">lead0283@example.com</t>
  </si>
  <si>
    <t xml:space="preserve">9500614581</t>
  </si>
  <si>
    <t xml:space="preserve">LEAD0284</t>
  </si>
  <si>
    <t xml:space="preserve">lead0284@example.com</t>
  </si>
  <si>
    <t xml:space="preserve">9640453426</t>
  </si>
  <si>
    <t xml:space="preserve">LEAD0285</t>
  </si>
  <si>
    <t xml:space="preserve">Rohan Mishra</t>
  </si>
  <si>
    <t xml:space="preserve">lead0285@example.com</t>
  </si>
  <si>
    <t xml:space="preserve">9626325353</t>
  </si>
  <si>
    <t xml:space="preserve">LEAD0286</t>
  </si>
  <si>
    <t xml:space="preserve">lead0286@example.com</t>
  </si>
  <si>
    <t xml:space="preserve">9863548641</t>
  </si>
  <si>
    <t xml:space="preserve">LEAD0287</t>
  </si>
  <si>
    <t xml:space="preserve">Tanya Pandey</t>
  </si>
  <si>
    <t xml:space="preserve">lead0287@example.com</t>
  </si>
  <si>
    <t xml:space="preserve">9216085930</t>
  </si>
  <si>
    <t xml:space="preserve">LEAD0288</t>
  </si>
  <si>
    <t xml:space="preserve">Pooja Mishra</t>
  </si>
  <si>
    <t xml:space="preserve">lead0288@example.com</t>
  </si>
  <si>
    <t xml:space="preserve">9320648482</t>
  </si>
  <si>
    <t xml:space="preserve">LEAD0289</t>
  </si>
  <si>
    <t xml:space="preserve">lead0289@example.com</t>
  </si>
  <si>
    <t xml:space="preserve">9763248135</t>
  </si>
  <si>
    <t xml:space="preserve">LEAD0290</t>
  </si>
  <si>
    <t xml:space="preserve">Riya Yadav</t>
  </si>
  <si>
    <t xml:space="preserve">lead0290@example.com</t>
  </si>
  <si>
    <t xml:space="preserve">9142311558</t>
  </si>
  <si>
    <t xml:space="preserve">LEAD0291</t>
  </si>
  <si>
    <t xml:space="preserve">Karan Sharma</t>
  </si>
  <si>
    <t xml:space="preserve">lead0291@example.com</t>
  </si>
  <si>
    <t xml:space="preserve">9818356830</t>
  </si>
  <si>
    <t xml:space="preserve">LEAD0292</t>
  </si>
  <si>
    <t xml:space="preserve">Yash Agarwal</t>
  </si>
  <si>
    <t xml:space="preserve">lead0292@example.com</t>
  </si>
  <si>
    <t xml:space="preserve">9153773200</t>
  </si>
  <si>
    <t xml:space="preserve">LEAD0293</t>
  </si>
  <si>
    <t xml:space="preserve">lead0293@example.com</t>
  </si>
  <si>
    <t xml:space="preserve">9110385578</t>
  </si>
  <si>
    <t xml:space="preserve">LEAD0294</t>
  </si>
  <si>
    <t xml:space="preserve">Aman Kumar</t>
  </si>
  <si>
    <t xml:space="preserve">lead0294@example.com</t>
  </si>
  <si>
    <t xml:space="preserve">9997335002</t>
  </si>
  <si>
    <t xml:space="preserve">LEAD0295</t>
  </si>
  <si>
    <t xml:space="preserve">Priya Singh</t>
  </si>
  <si>
    <t xml:space="preserve">lead0295@example.com</t>
  </si>
  <si>
    <t xml:space="preserve">9546706352</t>
  </si>
  <si>
    <t xml:space="preserve">LEAD0296</t>
  </si>
  <si>
    <t xml:space="preserve">lead0296@example.com</t>
  </si>
  <si>
    <t xml:space="preserve">9880909484</t>
  </si>
  <si>
    <t xml:space="preserve">LEAD0297</t>
  </si>
  <si>
    <t xml:space="preserve">Aditya Verma</t>
  </si>
  <si>
    <t xml:space="preserve">lead0297@example.com</t>
  </si>
  <si>
    <t xml:space="preserve">9340501969</t>
  </si>
  <si>
    <t xml:space="preserve">LEAD0298</t>
  </si>
  <si>
    <t xml:space="preserve">lead0298@example.com</t>
  </si>
  <si>
    <t xml:space="preserve">9758111412</t>
  </si>
  <si>
    <t xml:space="preserve">LEAD0299</t>
  </si>
  <si>
    <t xml:space="preserve">lead0299@example.com</t>
  </si>
  <si>
    <t xml:space="preserve">9533015368</t>
  </si>
  <si>
    <t xml:space="preserve">LEAD0300</t>
  </si>
  <si>
    <t xml:space="preserve">lead0300@example.com</t>
  </si>
  <si>
    <t xml:space="preserve">9138474240</t>
  </si>
  <si>
    <t xml:space="preserve">Interaction ID</t>
  </si>
  <si>
    <t xml:space="preserve">Date</t>
  </si>
  <si>
    <t xml:space="preserve">Interaction Type</t>
  </si>
  <si>
    <t xml:space="preserve">Outcome</t>
  </si>
  <si>
    <t xml:space="preserve">Remarks</t>
  </si>
  <si>
    <t xml:space="preserve">Next Follow-up</t>
  </si>
  <si>
    <t xml:space="preserve">Data Check</t>
  </si>
  <si>
    <t xml:space="preserve">INT00001</t>
  </si>
  <si>
    <t xml:space="preserve">Call</t>
  </si>
  <si>
    <t xml:space="preserve">DNP</t>
  </si>
  <si>
    <t xml:space="preserve">INT00002</t>
  </si>
  <si>
    <t xml:space="preserve">INT00003</t>
  </si>
  <si>
    <t xml:space="preserve">Asked for callback</t>
  </si>
  <si>
    <t xml:space="preserve">INT00004</t>
  </si>
  <si>
    <t xml:space="preserve">Follow Up</t>
  </si>
  <si>
    <t xml:space="preserve">Details shared</t>
  </si>
  <si>
    <t xml:space="preserve">INT00005</t>
  </si>
  <si>
    <t xml:space="preserve">INT00006</t>
  </si>
  <si>
    <t xml:space="preserve">Call Cut</t>
  </si>
  <si>
    <t xml:space="preserve">INT00007</t>
  </si>
  <si>
    <t xml:space="preserve">Call Back Later</t>
  </si>
  <si>
    <t xml:space="preserve">Follow-up required</t>
  </si>
  <si>
    <t xml:space="preserve">INT00008</t>
  </si>
  <si>
    <t xml:space="preserve">Details Sent</t>
  </si>
  <si>
    <t xml:space="preserve">No response</t>
  </si>
  <si>
    <t xml:space="preserve">INT00009</t>
  </si>
  <si>
    <t xml:space="preserve">Switch Off</t>
  </si>
  <si>
    <t xml:space="preserve">INT00010</t>
  </si>
  <si>
    <t xml:space="preserve">INT00011</t>
  </si>
  <si>
    <t xml:space="preserve">INT00012</t>
  </si>
  <si>
    <t xml:space="preserve">Requested course information</t>
  </si>
  <si>
    <t xml:space="preserve">INT00013</t>
  </si>
  <si>
    <t xml:space="preserve">Paid</t>
  </si>
  <si>
    <t xml:space="preserve">INT00014</t>
  </si>
  <si>
    <t xml:space="preserve">INT00015</t>
  </si>
  <si>
    <t xml:space="preserve">Not Interested</t>
  </si>
  <si>
    <t xml:space="preserve">INT00016</t>
  </si>
  <si>
    <t xml:space="preserve">INT00017</t>
  </si>
  <si>
    <t xml:space="preserve">INT00018</t>
  </si>
  <si>
    <t xml:space="preserve">INT00019</t>
  </si>
  <si>
    <t xml:space="preserve">INT00020</t>
  </si>
  <si>
    <t xml:space="preserve">INT00021</t>
  </si>
  <si>
    <t xml:space="preserve">Not interested currently</t>
  </si>
  <si>
    <t xml:space="preserve">INT00022</t>
  </si>
  <si>
    <t xml:space="preserve">INT00023</t>
  </si>
  <si>
    <t xml:space="preserve">INT00024</t>
  </si>
  <si>
    <t xml:space="preserve">INT00025</t>
  </si>
  <si>
    <t xml:space="preserve">INT00026</t>
  </si>
  <si>
    <t xml:space="preserve">INT00027</t>
  </si>
  <si>
    <t xml:space="preserve">INT00028</t>
  </si>
  <si>
    <t xml:space="preserve">Number unreachable</t>
  </si>
  <si>
    <t xml:space="preserve">INT00029</t>
  </si>
  <si>
    <t xml:space="preserve">Wrong Number</t>
  </si>
  <si>
    <t xml:space="preserve">INT00030</t>
  </si>
  <si>
    <t xml:space="preserve">INT00031</t>
  </si>
  <si>
    <t xml:space="preserve">INT00032</t>
  </si>
  <si>
    <t xml:space="preserve">Interested, needs more details</t>
  </si>
  <si>
    <t xml:space="preserve">INT00033</t>
  </si>
  <si>
    <t xml:space="preserve">INT00034</t>
  </si>
  <si>
    <t xml:space="preserve">INT00035</t>
  </si>
  <si>
    <t xml:space="preserve">INT00036</t>
  </si>
  <si>
    <t xml:space="preserve">INT00037</t>
  </si>
  <si>
    <t xml:space="preserve">INT00038</t>
  </si>
  <si>
    <t xml:space="preserve">INT00039</t>
  </si>
  <si>
    <t xml:space="preserve">INT00040</t>
  </si>
  <si>
    <t xml:space="preserve">INT00041</t>
  </si>
  <si>
    <t xml:space="preserve">INT00042</t>
  </si>
  <si>
    <t xml:space="preserve">INT00043</t>
  </si>
  <si>
    <t xml:space="preserve">INT00044</t>
  </si>
  <si>
    <t xml:space="preserve">INT00045</t>
  </si>
  <si>
    <t xml:space="preserve">INT00046</t>
  </si>
  <si>
    <t xml:space="preserve">INT00047</t>
  </si>
  <si>
    <t xml:space="preserve">INT00048</t>
  </si>
  <si>
    <t xml:space="preserve">INT00049</t>
  </si>
  <si>
    <t xml:space="preserve">INT00050</t>
  </si>
  <si>
    <t xml:space="preserve">INT00051</t>
  </si>
  <si>
    <t xml:space="preserve">INT00052</t>
  </si>
  <si>
    <t xml:space="preserve">INT00053</t>
  </si>
  <si>
    <t xml:space="preserve">INT00054</t>
  </si>
  <si>
    <t xml:space="preserve">INT00055</t>
  </si>
  <si>
    <t xml:space="preserve">INT00056</t>
  </si>
  <si>
    <t xml:space="preserve">INT00057</t>
  </si>
  <si>
    <t xml:space="preserve">Message</t>
  </si>
  <si>
    <t xml:space="preserve">Message Sent</t>
  </si>
  <si>
    <t xml:space="preserve">INT00058</t>
  </si>
  <si>
    <t xml:space="preserve">INT00059</t>
  </si>
  <si>
    <t xml:space="preserve">INT00060</t>
  </si>
  <si>
    <t xml:space="preserve">INT00061</t>
  </si>
  <si>
    <t xml:space="preserve">INT00062</t>
  </si>
  <si>
    <t xml:space="preserve">INT00063</t>
  </si>
  <si>
    <t xml:space="preserve">INT00064</t>
  </si>
  <si>
    <t xml:space="preserve">INT00065</t>
  </si>
  <si>
    <t xml:space="preserve">INT00066</t>
  </si>
  <si>
    <t xml:space="preserve">INT00067</t>
  </si>
  <si>
    <t xml:space="preserve">INT00068</t>
  </si>
  <si>
    <t xml:space="preserve">INT00069</t>
  </si>
  <si>
    <t xml:space="preserve">INT00070</t>
  </si>
  <si>
    <t xml:space="preserve">INT00071</t>
  </si>
  <si>
    <t xml:space="preserve">INT00072</t>
  </si>
  <si>
    <t xml:space="preserve">Not Reachable</t>
  </si>
  <si>
    <t xml:space="preserve">INT00073</t>
  </si>
  <si>
    <t xml:space="preserve">INT00074</t>
  </si>
  <si>
    <t xml:space="preserve">INT00075</t>
  </si>
  <si>
    <t xml:space="preserve">INT00076</t>
  </si>
  <si>
    <t xml:space="preserve">INT00077</t>
  </si>
  <si>
    <t xml:space="preserve">INT00078</t>
  </si>
  <si>
    <t xml:space="preserve">INT00079</t>
  </si>
  <si>
    <t xml:space="preserve">INT00080</t>
  </si>
  <si>
    <t xml:space="preserve">INT00081</t>
  </si>
  <si>
    <t xml:space="preserve">INT00082</t>
  </si>
  <si>
    <t xml:space="preserve">INT00083</t>
  </si>
  <si>
    <t xml:space="preserve">INT00084</t>
  </si>
  <si>
    <t xml:space="preserve">INT00085</t>
  </si>
  <si>
    <t xml:space="preserve">INT00086</t>
  </si>
  <si>
    <t xml:space="preserve">INT00087</t>
  </si>
  <si>
    <t xml:space="preserve">INT00088</t>
  </si>
  <si>
    <t xml:space="preserve">INT00089</t>
  </si>
  <si>
    <t xml:space="preserve">INT00090</t>
  </si>
  <si>
    <t xml:space="preserve">INT00091</t>
  </si>
  <si>
    <t xml:space="preserve">INT00092</t>
  </si>
  <si>
    <t xml:space="preserve">INT00093</t>
  </si>
  <si>
    <t xml:space="preserve">INT00094</t>
  </si>
  <si>
    <t xml:space="preserve">INT00095</t>
  </si>
  <si>
    <t xml:space="preserve">INT00096</t>
  </si>
  <si>
    <t xml:space="preserve">INT00097</t>
  </si>
  <si>
    <t xml:space="preserve">INT00098</t>
  </si>
  <si>
    <t xml:space="preserve">INT00099</t>
  </si>
  <si>
    <t xml:space="preserve">INT00100</t>
  </si>
  <si>
    <t xml:space="preserve">INT00101</t>
  </si>
  <si>
    <t xml:space="preserve">INT00102</t>
  </si>
  <si>
    <t xml:space="preserve">INT00103</t>
  </si>
  <si>
    <t xml:space="preserve">INT00104</t>
  </si>
  <si>
    <t xml:space="preserve">INT00105</t>
  </si>
  <si>
    <t xml:space="preserve">INT00106</t>
  </si>
  <si>
    <t xml:space="preserve">INT00107</t>
  </si>
  <si>
    <t xml:space="preserve">INT00108</t>
  </si>
  <si>
    <t xml:space="preserve">INT00109</t>
  </si>
  <si>
    <t xml:space="preserve">INT00110</t>
  </si>
  <si>
    <t xml:space="preserve">INT00111</t>
  </si>
  <si>
    <t xml:space="preserve">INT00112</t>
  </si>
  <si>
    <t xml:space="preserve">INT00113</t>
  </si>
  <si>
    <t xml:space="preserve">INT00114</t>
  </si>
  <si>
    <t xml:space="preserve">INT00115</t>
  </si>
  <si>
    <t xml:space="preserve">INT00116</t>
  </si>
  <si>
    <t xml:space="preserve">INT00117</t>
  </si>
  <si>
    <t xml:space="preserve">INT00118</t>
  </si>
  <si>
    <t xml:space="preserve">INT00119</t>
  </si>
  <si>
    <t xml:space="preserve">INT00120</t>
  </si>
  <si>
    <t xml:space="preserve">INT00121</t>
  </si>
  <si>
    <t xml:space="preserve">INT00122</t>
  </si>
  <si>
    <t xml:space="preserve">INT00123</t>
  </si>
  <si>
    <t xml:space="preserve">INT00124</t>
  </si>
  <si>
    <t xml:space="preserve">INT00125</t>
  </si>
  <si>
    <t xml:space="preserve">INT00126</t>
  </si>
  <si>
    <t xml:space="preserve">INT00127</t>
  </si>
  <si>
    <t xml:space="preserve">INT00128</t>
  </si>
  <si>
    <t xml:space="preserve">INT00129</t>
  </si>
  <si>
    <t xml:space="preserve">INT00130</t>
  </si>
  <si>
    <t xml:space="preserve">INT00131</t>
  </si>
  <si>
    <t xml:space="preserve">INT00132</t>
  </si>
  <si>
    <t xml:space="preserve">INT00133</t>
  </si>
  <si>
    <t xml:space="preserve">INT00134</t>
  </si>
  <si>
    <t xml:space="preserve">INT00135</t>
  </si>
  <si>
    <t xml:space="preserve">INT00136</t>
  </si>
  <si>
    <t xml:space="preserve">INT00137</t>
  </si>
  <si>
    <t xml:space="preserve">INT00138</t>
  </si>
  <si>
    <t xml:space="preserve">INT00139</t>
  </si>
  <si>
    <t xml:space="preserve">INT00140</t>
  </si>
  <si>
    <t xml:space="preserve">INT00141</t>
  </si>
  <si>
    <t xml:space="preserve">INT00142</t>
  </si>
  <si>
    <t xml:space="preserve">INT00143</t>
  </si>
  <si>
    <t xml:space="preserve">INT00144</t>
  </si>
  <si>
    <t xml:space="preserve">INT00145</t>
  </si>
  <si>
    <t xml:space="preserve">INT00146</t>
  </si>
  <si>
    <t xml:space="preserve">INT00147</t>
  </si>
  <si>
    <t xml:space="preserve">INT00148</t>
  </si>
  <si>
    <t xml:space="preserve">INT00149</t>
  </si>
  <si>
    <t xml:space="preserve">INT00150</t>
  </si>
  <si>
    <t xml:space="preserve">INT00151</t>
  </si>
  <si>
    <t xml:space="preserve">INT00152</t>
  </si>
  <si>
    <t xml:space="preserve">INT00153</t>
  </si>
  <si>
    <t xml:space="preserve">INT00154</t>
  </si>
  <si>
    <t xml:space="preserve">INT00155</t>
  </si>
  <si>
    <t xml:space="preserve">INT00156</t>
  </si>
  <si>
    <t xml:space="preserve">INT00157</t>
  </si>
  <si>
    <t xml:space="preserve">INT00158</t>
  </si>
  <si>
    <t xml:space="preserve">INT00159</t>
  </si>
  <si>
    <t xml:space="preserve">INT00160</t>
  </si>
  <si>
    <t xml:space="preserve">INT00161</t>
  </si>
  <si>
    <t xml:space="preserve">INT00162</t>
  </si>
  <si>
    <t xml:space="preserve">INT00163</t>
  </si>
  <si>
    <t xml:space="preserve">INT00164</t>
  </si>
  <si>
    <t xml:space="preserve">INT00165</t>
  </si>
  <si>
    <t xml:space="preserve">INT00166</t>
  </si>
  <si>
    <t xml:space="preserve">INT00167</t>
  </si>
  <si>
    <t xml:space="preserve">INT00168</t>
  </si>
  <si>
    <t xml:space="preserve">INT00169</t>
  </si>
  <si>
    <t xml:space="preserve">INT00170</t>
  </si>
  <si>
    <t xml:space="preserve">INT00171</t>
  </si>
  <si>
    <t xml:space="preserve">INT00172</t>
  </si>
  <si>
    <t xml:space="preserve">INT00173</t>
  </si>
  <si>
    <t xml:space="preserve">INT00174</t>
  </si>
  <si>
    <t xml:space="preserve">INT00175</t>
  </si>
  <si>
    <t xml:space="preserve">INT00176</t>
  </si>
  <si>
    <t xml:space="preserve">INT00177</t>
  </si>
  <si>
    <t xml:space="preserve">INT00178</t>
  </si>
  <si>
    <t xml:space="preserve">INT00179</t>
  </si>
  <si>
    <t xml:space="preserve">INT00180</t>
  </si>
  <si>
    <t xml:space="preserve">INT00181</t>
  </si>
  <si>
    <t xml:space="preserve">INT00182</t>
  </si>
  <si>
    <t xml:space="preserve">INT00183</t>
  </si>
  <si>
    <t xml:space="preserve">INT00184</t>
  </si>
  <si>
    <t xml:space="preserve">INT00185</t>
  </si>
  <si>
    <t xml:space="preserve">INT00186</t>
  </si>
  <si>
    <t xml:space="preserve">INT00187</t>
  </si>
  <si>
    <t xml:space="preserve">INT00188</t>
  </si>
  <si>
    <t xml:space="preserve">INT00189</t>
  </si>
  <si>
    <t xml:space="preserve">INT00190</t>
  </si>
  <si>
    <t xml:space="preserve">INT00191</t>
  </si>
  <si>
    <t xml:space="preserve">INT00192</t>
  </si>
  <si>
    <t xml:space="preserve">INT00193</t>
  </si>
  <si>
    <t xml:space="preserve">INT00194</t>
  </si>
  <si>
    <t xml:space="preserve">INT00195</t>
  </si>
  <si>
    <t xml:space="preserve">INT00196</t>
  </si>
  <si>
    <t xml:space="preserve">INT00197</t>
  </si>
  <si>
    <t xml:space="preserve">INT00198</t>
  </si>
  <si>
    <t xml:space="preserve">INT00199</t>
  </si>
  <si>
    <t xml:space="preserve">INT00200</t>
  </si>
  <si>
    <t xml:space="preserve">INT00201</t>
  </si>
  <si>
    <t xml:space="preserve">INT00202</t>
  </si>
  <si>
    <t xml:space="preserve">INT00203</t>
  </si>
  <si>
    <t xml:space="preserve">INT00204</t>
  </si>
  <si>
    <t xml:space="preserve">INT00205</t>
  </si>
  <si>
    <t xml:space="preserve">INT00206</t>
  </si>
  <si>
    <t xml:space="preserve">INT00207</t>
  </si>
  <si>
    <t xml:space="preserve">INT00208</t>
  </si>
  <si>
    <t xml:space="preserve">INT00209</t>
  </si>
  <si>
    <t xml:space="preserve">INT00210</t>
  </si>
  <si>
    <t xml:space="preserve">INT00211</t>
  </si>
  <si>
    <t xml:space="preserve">INT00212</t>
  </si>
  <si>
    <t xml:space="preserve">INT00213</t>
  </si>
  <si>
    <t xml:space="preserve">INT00214</t>
  </si>
  <si>
    <t xml:space="preserve">INT00215</t>
  </si>
  <si>
    <t xml:space="preserve">INT00216</t>
  </si>
  <si>
    <t xml:space="preserve">INT00217</t>
  </si>
  <si>
    <t xml:space="preserve">INT00218</t>
  </si>
  <si>
    <t xml:space="preserve">INT00219</t>
  </si>
  <si>
    <t xml:space="preserve">INT00220</t>
  </si>
  <si>
    <t xml:space="preserve">INT00221</t>
  </si>
  <si>
    <t xml:space="preserve">INT00222</t>
  </si>
  <si>
    <t xml:space="preserve">INT00223</t>
  </si>
  <si>
    <t xml:space="preserve">INT00224</t>
  </si>
  <si>
    <t xml:space="preserve">INT00225</t>
  </si>
  <si>
    <t xml:space="preserve">INT00226</t>
  </si>
  <si>
    <t xml:space="preserve">INT00227</t>
  </si>
  <si>
    <t xml:space="preserve">INT00228</t>
  </si>
  <si>
    <t xml:space="preserve">INT00229</t>
  </si>
  <si>
    <t xml:space="preserve">INT00230</t>
  </si>
  <si>
    <t xml:space="preserve">INT00231</t>
  </si>
  <si>
    <t xml:space="preserve">INT00232</t>
  </si>
  <si>
    <t xml:space="preserve">INT00233</t>
  </si>
  <si>
    <t xml:space="preserve">INT00234</t>
  </si>
  <si>
    <t xml:space="preserve">INT00235</t>
  </si>
  <si>
    <t xml:space="preserve">INT00236</t>
  </si>
  <si>
    <t xml:space="preserve">INT00237</t>
  </si>
  <si>
    <t xml:space="preserve">INT00238</t>
  </si>
  <si>
    <t xml:space="preserve">INT00239</t>
  </si>
  <si>
    <t xml:space="preserve">INT00240</t>
  </si>
  <si>
    <t xml:space="preserve">INT00241</t>
  </si>
  <si>
    <t xml:space="preserve">INT00242</t>
  </si>
  <si>
    <t xml:space="preserve">INT00243</t>
  </si>
  <si>
    <t xml:space="preserve">INT00244</t>
  </si>
  <si>
    <t xml:space="preserve">INT00245</t>
  </si>
  <si>
    <t xml:space="preserve">INT00246</t>
  </si>
  <si>
    <t xml:space="preserve">INT00247</t>
  </si>
  <si>
    <t xml:space="preserve">INT00248</t>
  </si>
  <si>
    <t xml:space="preserve">INT00249</t>
  </si>
  <si>
    <t xml:space="preserve">INT00250</t>
  </si>
  <si>
    <t xml:space="preserve">INT00251</t>
  </si>
  <si>
    <t xml:space="preserve">INT00252</t>
  </si>
  <si>
    <t xml:space="preserve">INT00253</t>
  </si>
  <si>
    <t xml:space="preserve">INT00254</t>
  </si>
  <si>
    <t xml:space="preserve">INT00255</t>
  </si>
  <si>
    <t xml:space="preserve">INT00256</t>
  </si>
  <si>
    <t xml:space="preserve">INT00257</t>
  </si>
  <si>
    <t xml:space="preserve">INT00258</t>
  </si>
  <si>
    <t xml:space="preserve">INT00259</t>
  </si>
  <si>
    <t xml:space="preserve">INT00260</t>
  </si>
  <si>
    <t xml:space="preserve">INT00261</t>
  </si>
  <si>
    <t xml:space="preserve">INT00262</t>
  </si>
  <si>
    <t xml:space="preserve">INT00263</t>
  </si>
  <si>
    <t xml:space="preserve">INT00264</t>
  </si>
  <si>
    <t xml:space="preserve">INT00265</t>
  </si>
  <si>
    <t xml:space="preserve">INT00266</t>
  </si>
  <si>
    <t xml:space="preserve">INT00267</t>
  </si>
  <si>
    <t xml:space="preserve">INT00268</t>
  </si>
  <si>
    <t xml:space="preserve">INT00269</t>
  </si>
  <si>
    <t xml:space="preserve">INT00270</t>
  </si>
  <si>
    <t xml:space="preserve">INT00271</t>
  </si>
  <si>
    <t xml:space="preserve">INT00272</t>
  </si>
  <si>
    <t xml:space="preserve">INT00273</t>
  </si>
  <si>
    <t xml:space="preserve">INT00274</t>
  </si>
  <si>
    <t xml:space="preserve">INT00275</t>
  </si>
  <si>
    <t xml:space="preserve">INT00276</t>
  </si>
  <si>
    <t xml:space="preserve">INT00277</t>
  </si>
  <si>
    <t xml:space="preserve">INT00278</t>
  </si>
  <si>
    <t xml:space="preserve">INT00279</t>
  </si>
  <si>
    <t xml:space="preserve">INT00280</t>
  </si>
  <si>
    <t xml:space="preserve">INT00281</t>
  </si>
  <si>
    <t xml:space="preserve">INT00282</t>
  </si>
  <si>
    <t xml:space="preserve">INT00283</t>
  </si>
  <si>
    <t xml:space="preserve">INT00284</t>
  </si>
  <si>
    <t xml:space="preserve">INT00285</t>
  </si>
  <si>
    <t xml:space="preserve">INT00286</t>
  </si>
  <si>
    <t xml:space="preserve">INT00287</t>
  </si>
  <si>
    <t xml:space="preserve">INT00288</t>
  </si>
  <si>
    <t xml:space="preserve">INT00289</t>
  </si>
  <si>
    <t xml:space="preserve">INT00290</t>
  </si>
  <si>
    <t xml:space="preserve">INT00291</t>
  </si>
  <si>
    <t xml:space="preserve">INT00292</t>
  </si>
  <si>
    <t xml:space="preserve">INT00293</t>
  </si>
  <si>
    <t xml:space="preserve">INT00294</t>
  </si>
  <si>
    <t xml:space="preserve">INT00295</t>
  </si>
  <si>
    <t xml:space="preserve">INT00296</t>
  </si>
  <si>
    <t xml:space="preserve">INT00297</t>
  </si>
  <si>
    <t xml:space="preserve">INT00298</t>
  </si>
  <si>
    <t xml:space="preserve">INT00299</t>
  </si>
  <si>
    <t xml:space="preserve">INT00300</t>
  </si>
  <si>
    <t xml:space="preserve">INT00301</t>
  </si>
  <si>
    <t xml:space="preserve">INT00302</t>
  </si>
  <si>
    <t xml:space="preserve">INT00303</t>
  </si>
  <si>
    <t xml:space="preserve">INT00304</t>
  </si>
  <si>
    <t xml:space="preserve">INT00305</t>
  </si>
  <si>
    <t xml:space="preserve">INT00306</t>
  </si>
  <si>
    <t xml:space="preserve">INT00307</t>
  </si>
  <si>
    <t xml:space="preserve">INT00308</t>
  </si>
  <si>
    <t xml:space="preserve">INT00309</t>
  </si>
  <si>
    <t xml:space="preserve">INT00310</t>
  </si>
  <si>
    <t xml:space="preserve">INT00311</t>
  </si>
  <si>
    <t xml:space="preserve">INT00312</t>
  </si>
  <si>
    <t xml:space="preserve">INT00313</t>
  </si>
  <si>
    <t xml:space="preserve">INT00314</t>
  </si>
  <si>
    <t xml:space="preserve">INT00315</t>
  </si>
  <si>
    <t xml:space="preserve">INT00316</t>
  </si>
  <si>
    <t xml:space="preserve">INT00317</t>
  </si>
  <si>
    <t xml:space="preserve">INT00318</t>
  </si>
  <si>
    <t xml:space="preserve">INT00319</t>
  </si>
  <si>
    <t xml:space="preserve">INT00320</t>
  </si>
  <si>
    <t xml:space="preserve">INT00321</t>
  </si>
  <si>
    <t xml:space="preserve">INT00322</t>
  </si>
  <si>
    <t xml:space="preserve">INT00323</t>
  </si>
  <si>
    <t xml:space="preserve">INT00324</t>
  </si>
  <si>
    <t xml:space="preserve">INT00325</t>
  </si>
  <si>
    <t xml:space="preserve">INT00326</t>
  </si>
  <si>
    <t xml:space="preserve">INT00327</t>
  </si>
  <si>
    <t xml:space="preserve">INT00328</t>
  </si>
  <si>
    <t xml:space="preserve">INT00329</t>
  </si>
  <si>
    <t xml:space="preserve">INT00330</t>
  </si>
  <si>
    <t xml:space="preserve">INT00331</t>
  </si>
  <si>
    <t xml:space="preserve">INT00332</t>
  </si>
  <si>
    <t xml:space="preserve">INT00333</t>
  </si>
  <si>
    <t xml:space="preserve">INT00334</t>
  </si>
  <si>
    <t xml:space="preserve">INT00335</t>
  </si>
  <si>
    <t xml:space="preserve">INT00336</t>
  </si>
  <si>
    <t xml:space="preserve">INT00337</t>
  </si>
  <si>
    <t xml:space="preserve">INT00338</t>
  </si>
  <si>
    <t xml:space="preserve">INT00339</t>
  </si>
  <si>
    <t xml:space="preserve">INT00340</t>
  </si>
  <si>
    <t xml:space="preserve">INT00341</t>
  </si>
  <si>
    <t xml:space="preserve">INT00342</t>
  </si>
  <si>
    <t xml:space="preserve">INT00343</t>
  </si>
  <si>
    <t xml:space="preserve">INT00344</t>
  </si>
  <si>
    <t xml:space="preserve">INT00345</t>
  </si>
  <si>
    <t xml:space="preserve">INT00346</t>
  </si>
  <si>
    <t xml:space="preserve">INT00347</t>
  </si>
  <si>
    <t xml:space="preserve">INT00348</t>
  </si>
  <si>
    <t xml:space="preserve">INT00349</t>
  </si>
  <si>
    <t xml:space="preserve">INT00350</t>
  </si>
  <si>
    <t xml:space="preserve">INT00351</t>
  </si>
  <si>
    <t xml:space="preserve">INT00352</t>
  </si>
  <si>
    <t xml:space="preserve">INT00353</t>
  </si>
  <si>
    <t xml:space="preserve">INT00354</t>
  </si>
  <si>
    <t xml:space="preserve">INT00355</t>
  </si>
  <si>
    <t xml:space="preserve">INT00356</t>
  </si>
  <si>
    <t xml:space="preserve">INT00357</t>
  </si>
  <si>
    <t xml:space="preserve">INT00358</t>
  </si>
  <si>
    <t xml:space="preserve">INT00359</t>
  </si>
  <si>
    <t xml:space="preserve">INT00360</t>
  </si>
  <si>
    <t xml:space="preserve">INT00361</t>
  </si>
  <si>
    <t xml:space="preserve">INT00362</t>
  </si>
  <si>
    <t xml:space="preserve">INT00363</t>
  </si>
  <si>
    <t xml:space="preserve">INT00364</t>
  </si>
  <si>
    <t xml:space="preserve">INT00365</t>
  </si>
  <si>
    <t xml:space="preserve">INT00366</t>
  </si>
  <si>
    <t xml:space="preserve">INT00367</t>
  </si>
  <si>
    <t xml:space="preserve">INT00368</t>
  </si>
  <si>
    <t xml:space="preserve">INT00369</t>
  </si>
  <si>
    <t xml:space="preserve">INT00370</t>
  </si>
  <si>
    <t xml:space="preserve">INT00371</t>
  </si>
  <si>
    <t xml:space="preserve">INT00372</t>
  </si>
  <si>
    <t xml:space="preserve">INT00373</t>
  </si>
  <si>
    <t xml:space="preserve">INT00374</t>
  </si>
  <si>
    <t xml:space="preserve">INT00375</t>
  </si>
  <si>
    <t xml:space="preserve">INT00376</t>
  </si>
  <si>
    <t xml:space="preserve">INT00377</t>
  </si>
  <si>
    <t xml:space="preserve">INT00378</t>
  </si>
  <si>
    <t xml:space="preserve">INT00379</t>
  </si>
  <si>
    <t xml:space="preserve">INT00380</t>
  </si>
  <si>
    <t xml:space="preserve">INT00381</t>
  </si>
  <si>
    <t xml:space="preserve">INT00382</t>
  </si>
  <si>
    <t xml:space="preserve">INT00383</t>
  </si>
  <si>
    <t xml:space="preserve">INT00384</t>
  </si>
  <si>
    <t xml:space="preserve">INT00385</t>
  </si>
  <si>
    <t xml:space="preserve">INT00386</t>
  </si>
  <si>
    <t xml:space="preserve">INT00387</t>
  </si>
  <si>
    <t xml:space="preserve">INT00388</t>
  </si>
  <si>
    <t xml:space="preserve">INT00389</t>
  </si>
  <si>
    <t xml:space="preserve">INT00390</t>
  </si>
  <si>
    <t xml:space="preserve">INT00391</t>
  </si>
  <si>
    <t xml:space="preserve">INT00392</t>
  </si>
  <si>
    <t xml:space="preserve">INT00393</t>
  </si>
  <si>
    <t xml:space="preserve">INT00394</t>
  </si>
  <si>
    <t xml:space="preserve">INT00395</t>
  </si>
  <si>
    <t xml:space="preserve">INT00396</t>
  </si>
  <si>
    <t xml:space="preserve">INT00397</t>
  </si>
  <si>
    <t xml:space="preserve">INT00398</t>
  </si>
  <si>
    <t xml:space="preserve">INT00399</t>
  </si>
  <si>
    <t xml:space="preserve">INT00400</t>
  </si>
  <si>
    <t xml:space="preserve">INT00401</t>
  </si>
  <si>
    <t xml:space="preserve">INT00402</t>
  </si>
  <si>
    <t xml:space="preserve">INT00403</t>
  </si>
  <si>
    <t xml:space="preserve">INT00404</t>
  </si>
  <si>
    <t xml:space="preserve">INT00405</t>
  </si>
  <si>
    <t xml:space="preserve">INT00406</t>
  </si>
  <si>
    <t xml:space="preserve">INT00407</t>
  </si>
  <si>
    <t xml:space="preserve">INT00408</t>
  </si>
  <si>
    <t xml:space="preserve">INT00409</t>
  </si>
  <si>
    <t xml:space="preserve">INT00410</t>
  </si>
  <si>
    <t xml:space="preserve">INT00411</t>
  </si>
  <si>
    <t xml:space="preserve">INT00412</t>
  </si>
  <si>
    <t xml:space="preserve">INT00413</t>
  </si>
  <si>
    <t xml:space="preserve">INT00414</t>
  </si>
  <si>
    <t xml:space="preserve">INT00415</t>
  </si>
  <si>
    <t xml:space="preserve">INT00416</t>
  </si>
  <si>
    <t xml:space="preserve">INT00417</t>
  </si>
  <si>
    <t xml:space="preserve">INT00418</t>
  </si>
  <si>
    <t xml:space="preserve">INT00419</t>
  </si>
  <si>
    <t xml:space="preserve">INT00420</t>
  </si>
  <si>
    <t xml:space="preserve">INT00421</t>
  </si>
  <si>
    <t xml:space="preserve">INT00422</t>
  </si>
  <si>
    <t xml:space="preserve">INT00423</t>
  </si>
  <si>
    <t xml:space="preserve">INT00424</t>
  </si>
  <si>
    <t xml:space="preserve">INT00425</t>
  </si>
  <si>
    <t xml:space="preserve">INT00426</t>
  </si>
  <si>
    <t xml:space="preserve">INT00427</t>
  </si>
  <si>
    <t xml:space="preserve">INT00428</t>
  </si>
  <si>
    <t xml:space="preserve">INT00429</t>
  </si>
  <si>
    <t xml:space="preserve">INT00430</t>
  </si>
  <si>
    <t xml:space="preserve">INT00431</t>
  </si>
  <si>
    <t xml:space="preserve">INT00432</t>
  </si>
  <si>
    <t xml:space="preserve">INT00433</t>
  </si>
  <si>
    <t xml:space="preserve">INT00434</t>
  </si>
  <si>
    <t xml:space="preserve">INT00435</t>
  </si>
  <si>
    <t xml:space="preserve">INT00436</t>
  </si>
  <si>
    <t xml:space="preserve">INT00437</t>
  </si>
  <si>
    <t xml:space="preserve">INT00438</t>
  </si>
  <si>
    <t xml:space="preserve">INT00439</t>
  </si>
  <si>
    <t xml:space="preserve">INT00440</t>
  </si>
  <si>
    <t xml:space="preserve">INT00441</t>
  </si>
  <si>
    <t xml:space="preserve">INT00442</t>
  </si>
  <si>
    <t xml:space="preserve">INT00443</t>
  </si>
  <si>
    <t xml:space="preserve">INT00444</t>
  </si>
  <si>
    <t xml:space="preserve">INT00445</t>
  </si>
  <si>
    <t xml:space="preserve">INT00446</t>
  </si>
  <si>
    <t xml:space="preserve">INT00447</t>
  </si>
  <si>
    <t xml:space="preserve">INT00448</t>
  </si>
  <si>
    <t xml:space="preserve">INT00449</t>
  </si>
  <si>
    <t xml:space="preserve">INT00450</t>
  </si>
  <si>
    <t xml:space="preserve">INT00451</t>
  </si>
  <si>
    <t xml:space="preserve">INT00452</t>
  </si>
  <si>
    <t xml:space="preserve">INT00453</t>
  </si>
  <si>
    <t xml:space="preserve">INT00454</t>
  </si>
  <si>
    <t xml:space="preserve">INT00455</t>
  </si>
  <si>
    <t xml:space="preserve">INT00456</t>
  </si>
  <si>
    <t xml:space="preserve">INT00457</t>
  </si>
  <si>
    <t xml:space="preserve">INT00458</t>
  </si>
  <si>
    <t xml:space="preserve">INT00459</t>
  </si>
  <si>
    <t xml:space="preserve">INT00460</t>
  </si>
  <si>
    <t xml:space="preserve">INT00461</t>
  </si>
  <si>
    <t xml:space="preserve">INT00462</t>
  </si>
  <si>
    <t xml:space="preserve">INT00463</t>
  </si>
  <si>
    <t xml:space="preserve">INT00464</t>
  </si>
  <si>
    <t xml:space="preserve">INT00465</t>
  </si>
  <si>
    <t xml:space="preserve">INT00466</t>
  </si>
  <si>
    <t xml:space="preserve">INT00467</t>
  </si>
  <si>
    <t xml:space="preserve">INT00468</t>
  </si>
  <si>
    <t xml:space="preserve">INT00469</t>
  </si>
  <si>
    <t xml:space="preserve">INT00470</t>
  </si>
  <si>
    <t xml:space="preserve">INT00471</t>
  </si>
  <si>
    <t xml:space="preserve">INT00472</t>
  </si>
  <si>
    <t xml:space="preserve">INT00473</t>
  </si>
  <si>
    <t xml:space="preserve">INT00474</t>
  </si>
  <si>
    <t xml:space="preserve">INT00475</t>
  </si>
  <si>
    <t xml:space="preserve">INT00476</t>
  </si>
  <si>
    <t xml:space="preserve">INT00477</t>
  </si>
  <si>
    <t xml:space="preserve">INT00478</t>
  </si>
  <si>
    <t xml:space="preserve">INT00479</t>
  </si>
  <si>
    <t xml:space="preserve">INT00480</t>
  </si>
  <si>
    <t xml:space="preserve">INT00481</t>
  </si>
  <si>
    <t xml:space="preserve">INT00482</t>
  </si>
  <si>
    <t xml:space="preserve">INT00483</t>
  </si>
  <si>
    <t xml:space="preserve">INT00484</t>
  </si>
  <si>
    <t xml:space="preserve">INT00485</t>
  </si>
  <si>
    <t xml:space="preserve">INT00486</t>
  </si>
  <si>
    <t xml:space="preserve">INT00487</t>
  </si>
  <si>
    <t xml:space="preserve">INT00488</t>
  </si>
  <si>
    <t xml:space="preserve">INT00489</t>
  </si>
  <si>
    <t xml:space="preserve">INT00490</t>
  </si>
  <si>
    <t xml:space="preserve">INT00491</t>
  </si>
  <si>
    <t xml:space="preserve">INT00492</t>
  </si>
  <si>
    <t xml:space="preserve">INT00493</t>
  </si>
  <si>
    <t xml:space="preserve">INT00494</t>
  </si>
  <si>
    <t xml:space="preserve">INT00495</t>
  </si>
  <si>
    <t xml:space="preserve">INT00496</t>
  </si>
  <si>
    <t xml:space="preserve">INT00497</t>
  </si>
  <si>
    <t xml:space="preserve">INT00498</t>
  </si>
  <si>
    <t xml:space="preserve">INT00499</t>
  </si>
  <si>
    <t xml:space="preserve">INT00500</t>
  </si>
  <si>
    <t xml:space="preserve">INT00501</t>
  </si>
  <si>
    <t xml:space="preserve">INT00502</t>
  </si>
  <si>
    <t xml:space="preserve">INT00503</t>
  </si>
  <si>
    <t xml:space="preserve">INT00504</t>
  </si>
  <si>
    <t xml:space="preserve">INT00505</t>
  </si>
  <si>
    <t xml:space="preserve">INT00506</t>
  </si>
  <si>
    <t xml:space="preserve">INT00507</t>
  </si>
  <si>
    <t xml:space="preserve">INT00508</t>
  </si>
  <si>
    <t xml:space="preserve">INT00509</t>
  </si>
  <si>
    <t xml:space="preserve">INT00510</t>
  </si>
  <si>
    <t xml:space="preserve">INT00511</t>
  </si>
  <si>
    <t xml:space="preserve">INT00512</t>
  </si>
  <si>
    <t xml:space="preserve">INT00513</t>
  </si>
  <si>
    <t xml:space="preserve">INT00514</t>
  </si>
  <si>
    <t xml:space="preserve">INT00515</t>
  </si>
  <si>
    <t xml:space="preserve">INT00516</t>
  </si>
  <si>
    <t xml:space="preserve">INT00517</t>
  </si>
  <si>
    <t xml:space="preserve">INT00518</t>
  </si>
  <si>
    <t xml:space="preserve">INT00519</t>
  </si>
  <si>
    <t xml:space="preserve">INT00520</t>
  </si>
  <si>
    <t xml:space="preserve">INT00521</t>
  </si>
  <si>
    <t xml:space="preserve">INT00522</t>
  </si>
  <si>
    <t xml:space="preserve">INT00523</t>
  </si>
  <si>
    <t xml:space="preserve">INT00524</t>
  </si>
  <si>
    <t xml:space="preserve">INT00525</t>
  </si>
  <si>
    <t xml:space="preserve">INT00526</t>
  </si>
  <si>
    <t xml:space="preserve">INT00527</t>
  </si>
  <si>
    <t xml:space="preserve">INT00528</t>
  </si>
  <si>
    <t xml:space="preserve">INT00529</t>
  </si>
  <si>
    <t xml:space="preserve">INT00530</t>
  </si>
  <si>
    <t xml:space="preserve">INT00531</t>
  </si>
  <si>
    <t xml:space="preserve">INT00532</t>
  </si>
  <si>
    <t xml:space="preserve">INT00533</t>
  </si>
  <si>
    <t xml:space="preserve">INT00534</t>
  </si>
  <si>
    <t xml:space="preserve">INT00535</t>
  </si>
  <si>
    <t xml:space="preserve">INT00536</t>
  </si>
  <si>
    <t xml:space="preserve">INT00537</t>
  </si>
  <si>
    <t xml:space="preserve">INT00538</t>
  </si>
  <si>
    <t xml:space="preserve">INT00539</t>
  </si>
  <si>
    <t xml:space="preserve">INT00540</t>
  </si>
  <si>
    <t xml:space="preserve">INT00541</t>
  </si>
  <si>
    <t xml:space="preserve">INT00542</t>
  </si>
  <si>
    <t xml:space="preserve">INT00543</t>
  </si>
  <si>
    <t xml:space="preserve">INT00544</t>
  </si>
  <si>
    <t xml:space="preserve">INT00545</t>
  </si>
  <si>
    <t xml:space="preserve">INT00546</t>
  </si>
  <si>
    <t xml:space="preserve">INT00547</t>
  </si>
  <si>
    <t xml:space="preserve">INT00548</t>
  </si>
  <si>
    <t xml:space="preserve">INT00549</t>
  </si>
  <si>
    <t xml:space="preserve">INT00550</t>
  </si>
  <si>
    <t xml:space="preserve">INT00551</t>
  </si>
  <si>
    <t xml:space="preserve">INT00552</t>
  </si>
  <si>
    <t xml:space="preserve">INT00553</t>
  </si>
  <si>
    <t xml:space="preserve">INT00554</t>
  </si>
  <si>
    <t xml:space="preserve">INT00555</t>
  </si>
  <si>
    <t xml:space="preserve">INT00556</t>
  </si>
  <si>
    <t xml:space="preserve">INT00557</t>
  </si>
  <si>
    <t xml:space="preserve">INT00558</t>
  </si>
  <si>
    <t xml:space="preserve">INT00559</t>
  </si>
  <si>
    <t xml:space="preserve">INT00560</t>
  </si>
  <si>
    <t xml:space="preserve">INT00561</t>
  </si>
  <si>
    <t xml:space="preserve">INT00562</t>
  </si>
  <si>
    <t xml:space="preserve">INT00563</t>
  </si>
  <si>
    <t xml:space="preserve">INT00564</t>
  </si>
  <si>
    <t xml:space="preserve">INT00565</t>
  </si>
  <si>
    <t xml:space="preserve">INT00566</t>
  </si>
  <si>
    <t xml:space="preserve">INT00567</t>
  </si>
  <si>
    <t xml:space="preserve">INT00568</t>
  </si>
  <si>
    <t xml:space="preserve">INT00569</t>
  </si>
  <si>
    <t xml:space="preserve">INT00570</t>
  </si>
  <si>
    <t xml:space="preserve">INT00571</t>
  </si>
  <si>
    <t xml:space="preserve">INT00572</t>
  </si>
  <si>
    <t xml:space="preserve">INT00573</t>
  </si>
  <si>
    <t xml:space="preserve">INT00574</t>
  </si>
  <si>
    <t xml:space="preserve">INT00575</t>
  </si>
  <si>
    <t xml:space="preserve">INT00576</t>
  </si>
  <si>
    <t xml:space="preserve">INT00577</t>
  </si>
  <si>
    <t xml:space="preserve">INT00578</t>
  </si>
  <si>
    <t xml:space="preserve">INT00579</t>
  </si>
  <si>
    <t xml:space="preserve">INT00580</t>
  </si>
  <si>
    <t xml:space="preserve">INT00581</t>
  </si>
  <si>
    <t xml:space="preserve">INT00582</t>
  </si>
  <si>
    <t xml:space="preserve">INT00583</t>
  </si>
  <si>
    <t xml:space="preserve">INT00584</t>
  </si>
  <si>
    <t xml:space="preserve">INT00585</t>
  </si>
  <si>
    <t xml:space="preserve">INT00586</t>
  </si>
  <si>
    <t xml:space="preserve">INT00587</t>
  </si>
  <si>
    <t xml:space="preserve">INT00588</t>
  </si>
  <si>
    <t xml:space="preserve">INT00589</t>
  </si>
  <si>
    <t xml:space="preserve">INT00590</t>
  </si>
  <si>
    <t xml:space="preserve">INT00591</t>
  </si>
  <si>
    <t xml:space="preserve">INT00592</t>
  </si>
  <si>
    <t xml:space="preserve">INT00593</t>
  </si>
  <si>
    <t xml:space="preserve">INT00594</t>
  </si>
  <si>
    <t xml:space="preserve">INT00595</t>
  </si>
  <si>
    <t xml:space="preserve">INT00596</t>
  </si>
  <si>
    <t xml:space="preserve">INT00597</t>
  </si>
  <si>
    <t xml:space="preserve">INT00598</t>
  </si>
  <si>
    <t xml:space="preserve">INT00599</t>
  </si>
  <si>
    <t xml:space="preserve">INT00600</t>
  </si>
  <si>
    <t xml:space="preserve">INT00601</t>
  </si>
  <si>
    <t xml:space="preserve">INT00602</t>
  </si>
  <si>
    <t xml:space="preserve">INT00603</t>
  </si>
  <si>
    <t xml:space="preserve">INT00604</t>
  </si>
  <si>
    <t xml:space="preserve">INT00605</t>
  </si>
  <si>
    <t xml:space="preserve">INT00606</t>
  </si>
  <si>
    <t xml:space="preserve">INT00607</t>
  </si>
  <si>
    <t xml:space="preserve">INT00608</t>
  </si>
  <si>
    <t xml:space="preserve">INT00609</t>
  </si>
  <si>
    <t xml:space="preserve">INT00610</t>
  </si>
  <si>
    <t xml:space="preserve">INT00611</t>
  </si>
  <si>
    <t xml:space="preserve">INT00612</t>
  </si>
  <si>
    <t xml:space="preserve">INT00613</t>
  </si>
  <si>
    <t xml:space="preserve">INT00614</t>
  </si>
  <si>
    <t xml:space="preserve">INT00615</t>
  </si>
  <si>
    <t xml:space="preserve">INT00616</t>
  </si>
  <si>
    <t xml:space="preserve">INT00617</t>
  </si>
  <si>
    <t xml:space="preserve">INT00618</t>
  </si>
  <si>
    <t xml:space="preserve">INT00619</t>
  </si>
  <si>
    <t xml:space="preserve">INT00620</t>
  </si>
  <si>
    <t xml:space="preserve">INT00621</t>
  </si>
  <si>
    <t xml:space="preserve">INT00622</t>
  </si>
  <si>
    <t xml:space="preserve">INT00623</t>
  </si>
  <si>
    <t xml:space="preserve">INT00624</t>
  </si>
  <si>
    <t xml:space="preserve">INT00625</t>
  </si>
  <si>
    <t xml:space="preserve">INT00626</t>
  </si>
  <si>
    <t xml:space="preserve">INT00627</t>
  </si>
  <si>
    <t xml:space="preserve">INT00628</t>
  </si>
  <si>
    <t xml:space="preserve">INT00629</t>
  </si>
  <si>
    <t xml:space="preserve">INT00630</t>
  </si>
  <si>
    <t xml:space="preserve">INT00631</t>
  </si>
  <si>
    <t xml:space="preserve">INT00632</t>
  </si>
  <si>
    <t xml:space="preserve">INT00633</t>
  </si>
  <si>
    <t xml:space="preserve">INT00634</t>
  </si>
  <si>
    <t xml:space="preserve">INT00635</t>
  </si>
  <si>
    <t xml:space="preserve">INT00636</t>
  </si>
  <si>
    <t xml:space="preserve">INT00637</t>
  </si>
  <si>
    <t xml:space="preserve">INT00638</t>
  </si>
  <si>
    <t xml:space="preserve">INT00639</t>
  </si>
  <si>
    <t xml:space="preserve">INT00640</t>
  </si>
  <si>
    <t xml:space="preserve">INT00641</t>
  </si>
  <si>
    <t xml:space="preserve">INT00642</t>
  </si>
  <si>
    <t xml:space="preserve">INT00643</t>
  </si>
  <si>
    <t xml:space="preserve">INT00644</t>
  </si>
  <si>
    <t xml:space="preserve">INT00645</t>
  </si>
  <si>
    <t xml:space="preserve">INT00646</t>
  </si>
  <si>
    <t xml:space="preserve">INT00647</t>
  </si>
  <si>
    <t xml:space="preserve">INT00648</t>
  </si>
  <si>
    <t xml:space="preserve">INT00649</t>
  </si>
  <si>
    <t xml:space="preserve">INT00650</t>
  </si>
  <si>
    <t xml:space="preserve">INT00651</t>
  </si>
  <si>
    <t xml:space="preserve">INT00652</t>
  </si>
  <si>
    <t xml:space="preserve">INT00653</t>
  </si>
  <si>
    <t xml:space="preserve">INT00654</t>
  </si>
  <si>
    <t xml:space="preserve">INT00655</t>
  </si>
  <si>
    <t xml:space="preserve">INT00656</t>
  </si>
  <si>
    <t xml:space="preserve">INT00657</t>
  </si>
  <si>
    <t xml:space="preserve">INT00658</t>
  </si>
  <si>
    <t xml:space="preserve">INT00659</t>
  </si>
  <si>
    <t xml:space="preserve">INT00660</t>
  </si>
  <si>
    <t xml:space="preserve">INT00661</t>
  </si>
  <si>
    <t xml:space="preserve">INT00662</t>
  </si>
  <si>
    <t xml:space="preserve">INT00663</t>
  </si>
  <si>
    <t xml:space="preserve">INT00664</t>
  </si>
  <si>
    <t xml:space="preserve">INT00665</t>
  </si>
  <si>
    <t xml:space="preserve">INT00666</t>
  </si>
  <si>
    <t xml:space="preserve">INT00667</t>
  </si>
  <si>
    <t xml:space="preserve">INT00668</t>
  </si>
  <si>
    <t xml:space="preserve">INT00669</t>
  </si>
  <si>
    <t xml:space="preserve">INT00670</t>
  </si>
  <si>
    <t xml:space="preserve">INT00671</t>
  </si>
  <si>
    <t xml:space="preserve">INT00672</t>
  </si>
  <si>
    <t xml:space="preserve">INT00673</t>
  </si>
  <si>
    <t xml:space="preserve">INT00674</t>
  </si>
  <si>
    <t xml:space="preserve">INT00675</t>
  </si>
  <si>
    <t xml:space="preserve">INT00676</t>
  </si>
  <si>
    <t xml:space="preserve">INT00677</t>
  </si>
  <si>
    <t xml:space="preserve">INT00678</t>
  </si>
  <si>
    <t xml:space="preserve">INT00679</t>
  </si>
  <si>
    <t xml:space="preserve">INT00680</t>
  </si>
  <si>
    <t xml:space="preserve">INT00681</t>
  </si>
  <si>
    <t xml:space="preserve">INT00682</t>
  </si>
  <si>
    <t xml:space="preserve">INT00683</t>
  </si>
  <si>
    <t xml:space="preserve">INT00684</t>
  </si>
  <si>
    <t xml:space="preserve">INT00685</t>
  </si>
  <si>
    <t xml:space="preserve">INT00686</t>
  </si>
  <si>
    <t xml:space="preserve">INT00687</t>
  </si>
  <si>
    <t xml:space="preserve">INT00688</t>
  </si>
  <si>
    <t xml:space="preserve">INT00689</t>
  </si>
  <si>
    <t xml:space="preserve">INT00690</t>
  </si>
  <si>
    <t xml:space="preserve">INT00691</t>
  </si>
  <si>
    <t xml:space="preserve">INT00692</t>
  </si>
  <si>
    <t xml:space="preserve">INT00693</t>
  </si>
  <si>
    <t xml:space="preserve">INT00694</t>
  </si>
  <si>
    <t xml:space="preserve">INT00695</t>
  </si>
  <si>
    <t xml:space="preserve">INT00696</t>
  </si>
  <si>
    <t xml:space="preserve">INT00697</t>
  </si>
  <si>
    <t xml:space="preserve">INT00698</t>
  </si>
  <si>
    <t xml:space="preserve">INT00699</t>
  </si>
  <si>
    <t xml:space="preserve">INT00700</t>
  </si>
  <si>
    <t xml:space="preserve">INT00701</t>
  </si>
  <si>
    <t xml:space="preserve">INT00702</t>
  </si>
  <si>
    <t xml:space="preserve">INT00703</t>
  </si>
  <si>
    <t xml:space="preserve">INT00704</t>
  </si>
  <si>
    <t xml:space="preserve">INT00705</t>
  </si>
  <si>
    <t xml:space="preserve">INT00706</t>
  </si>
  <si>
    <t xml:space="preserve">INT00707</t>
  </si>
  <si>
    <t xml:space="preserve">INT00708</t>
  </si>
  <si>
    <t xml:space="preserve">INT00709</t>
  </si>
  <si>
    <t xml:space="preserve">INT00710</t>
  </si>
  <si>
    <t xml:space="preserve">INT00711</t>
  </si>
  <si>
    <t xml:space="preserve">INT00712</t>
  </si>
  <si>
    <t xml:space="preserve">INT00713</t>
  </si>
  <si>
    <t xml:space="preserve">INT00714</t>
  </si>
  <si>
    <t xml:space="preserve">INT00715</t>
  </si>
  <si>
    <t xml:space="preserve">INT00716</t>
  </si>
  <si>
    <t xml:space="preserve">INT00717</t>
  </si>
  <si>
    <t xml:space="preserve">INT00718</t>
  </si>
  <si>
    <t xml:space="preserve">INT00719</t>
  </si>
  <si>
    <t xml:space="preserve">INT00720</t>
  </si>
  <si>
    <t xml:space="preserve">INT00721</t>
  </si>
  <si>
    <t xml:space="preserve">INT00722</t>
  </si>
  <si>
    <t xml:space="preserve">INT00723</t>
  </si>
  <si>
    <t xml:space="preserve">INT00724</t>
  </si>
  <si>
    <t xml:space="preserve">INT00725</t>
  </si>
  <si>
    <t xml:space="preserve">INT00726</t>
  </si>
  <si>
    <t xml:space="preserve">INT00727</t>
  </si>
  <si>
    <t xml:space="preserve">INT00728</t>
  </si>
  <si>
    <t xml:space="preserve">INT00729</t>
  </si>
  <si>
    <t xml:space="preserve">INT00730</t>
  </si>
  <si>
    <t xml:space="preserve">INT00731</t>
  </si>
  <si>
    <t xml:space="preserve">INT00732</t>
  </si>
  <si>
    <t xml:space="preserve">INT00733</t>
  </si>
  <si>
    <t xml:space="preserve">INT00734</t>
  </si>
  <si>
    <t xml:space="preserve">INT00735</t>
  </si>
  <si>
    <t xml:space="preserve">INT00736</t>
  </si>
  <si>
    <t xml:space="preserve">INT00737</t>
  </si>
  <si>
    <t xml:space="preserve">INT00738</t>
  </si>
  <si>
    <t xml:space="preserve">INT00739</t>
  </si>
  <si>
    <t xml:space="preserve">INT00740</t>
  </si>
  <si>
    <t xml:space="preserve">INT00741</t>
  </si>
  <si>
    <t xml:space="preserve">INT00742</t>
  </si>
  <si>
    <t xml:space="preserve">INT00743</t>
  </si>
  <si>
    <t xml:space="preserve">INT00744</t>
  </si>
  <si>
    <t xml:space="preserve">INT00745</t>
  </si>
  <si>
    <t xml:space="preserve">INT00746</t>
  </si>
  <si>
    <t xml:space="preserve">INT00747</t>
  </si>
  <si>
    <t xml:space="preserve">Last Interaction</t>
  </si>
  <si>
    <t xml:space="preserve">Current Status</t>
  </si>
  <si>
    <t xml:space="preserve">Priority</t>
  </si>
  <si>
    <t xml:space="preserve">Action</t>
  </si>
  <si>
    <t xml:space="preserve">Due Status</t>
  </si>
  <si>
    <t xml:space="preserve">Interactions</t>
  </si>
  <si>
    <t xml:space="preserve">Details Sent (Ever)</t>
  </si>
  <si>
    <t xml:space="preserve">Data Flag</t>
  </si>
  <si>
    <t xml:space="preserve">CRM-Style Lead &amp; Customer Interaction Tracker — Dashboard</t>
  </si>
  <si>
    <t xml:space="preserve">As-of date</t>
  </si>
  <si>
    <t xml:space="preserve">← input (set to =TODAY() for live use). Drives Overdue / Due Today flags and the Data Check column.</t>
  </si>
  <si>
    <t xml:space="preserve">TOTAL LEADS</t>
  </si>
  <si>
    <t xml:space="preserve">CONTACTED</t>
  </si>
  <si>
    <t xml:space="preserve">FOLLOW-UPS SCHEDULED</t>
  </si>
  <si>
    <t xml:space="preserve">DETAILS SENT</t>
  </si>
  <si>
    <t xml:space="preserve">CONVERTED / PAID</t>
  </si>
  <si>
    <t xml:space="preserve">CONVERSION RATE</t>
  </si>
  <si>
    <t xml:space="preserve">OVERDUE FOLLOW-UPS</t>
  </si>
  <si>
    <t xml:space="preserve">Contacted = leads with ≥1 logged interaction · Follow-ups Scheduled = leads with a next follow-up date · Details Sent = leads with ≥1 "Details Sent" interaction · Converted = latest outcome is Paid · Overdue = open lead whose follow-up date is before the as-of date.</t>
  </si>
  <si>
    <t xml:space="preserve">1. Lead Status (latest outcome per lead)</t>
  </si>
  <si>
    <t xml:space="preserve">Category</t>
  </si>
  <si>
    <t xml:space="preserve">Count</t>
  </si>
  <si>
    <t xml:space="preserve">% Share</t>
  </si>
  <si>
    <t xml:space="preserve">Total</t>
  </si>
  <si>
    <t xml:space="preserve">2. Interested Program</t>
  </si>
  <si>
    <t xml:space="preserve">3. Interaction Outcome (all logged interactions)</t>
  </si>
  <si>
    <t xml:space="preserve">4. Preferred Language</t>
  </si>
  <si>
    <t xml:space="preserve">Status map: edit the blue cells to change how each outcome is classified, prioritised and actioned. Follow_Up_Tracker reads this table.</t>
  </si>
  <si>
    <t xml:space="preserve">High</t>
  </si>
  <si>
    <t xml:space="preserve">Medium</t>
  </si>
  <si>
    <t xml:space="preserve">Pending</t>
  </si>
  <si>
    <t xml:space="preserve">Retry</t>
  </si>
  <si>
    <t xml:space="preserve">Low</t>
  </si>
  <si>
    <t xml:space="preserve">Converted</t>
  </si>
  <si>
    <t xml:space="preserve">—</t>
  </si>
  <si>
    <t xml:space="preserve">Onboard</t>
  </si>
  <si>
    <t xml:space="preserve">Closed</t>
  </si>
  <si>
    <t xml:space="preserve">No action</t>
  </si>
  <si>
    <t xml:space="preserve">Verify number</t>
  </si>
  <si>
    <t xml:space="preserve">Notes, Assumptions &amp; Data-Quality Checks</t>
  </si>
  <si>
    <t xml:space="preserve">DATA: 300 synthetic leads and 747 interactions (names, e-mails on example.com, phones are generated — safe for a public repo). Source: BDA_Lead_Followup_Dataset.xlsx (the "(1)" copy and the CSV hold identical data).</t>
  </si>
  <si>
    <t xml:space="preserve">HOW IT WORKS: Interaction_Log is the single source of truth. Follow_Up_Tracker and CRM_Dashboard are formulas that read it; nothing on them is typed in except the Lead IDs.</t>
  </si>
  <si>
    <t xml:space="preserve">LEGEND: blue text = editable input (Lists status map, as-of date). Yellow cell = as-of date. Black = raw data or formula.</t>
  </si>
  <si>
    <t xml:space="preserve">ASSUMPTION — Interaction Type: the source has no type field. "Message Sent" outcomes are typed Message; everything else is typed Call.</t>
  </si>
  <si>
    <t xml:space="preserve">ASSUMPTION — Next Follow-up: the source holds one follow-up date per lead. It is placed on that lead's last interaction row; other rows are blank.</t>
  </si>
  <si>
    <t xml:space="preserve">ASSUMPTION — Status map (Lists sheet): Current Status / Priority / Action per outcome are my proposed defaults, not from the source. Edit them in Lists.</t>
  </si>
  <si>
    <t xml:space="preserve">ADDING DATA: append rows to Interaction_Log (keep rows of one lead together, in order) and copy the last Follow_Up_Tracker row down for new leads. Formulas cover up to row 3000 (log) and 1000 (leads).</t>
  </si>
  <si>
    <t xml:space="preserve">CLEANING DONE: outcome names standardised to Title Case (DNP kept upper-case); phone stored as text; dates converted to real dates; Interaction_History in the source verified against the log (all 300 leads match in order).</t>
  </si>
  <si>
    <t xml:space="preserve">Check</t>
  </si>
  <si>
    <t xml:space="preserve">Result</t>
  </si>
  <si>
    <t xml:space="preserve">Status</t>
  </si>
  <si>
    <t xml:space="preserve">Finding / treatment</t>
  </si>
  <si>
    <t xml:space="preserve">Duplicate Lead IDs</t>
  </si>
  <si>
    <t xml:space="preserve">None found.</t>
  </si>
  <si>
    <t xml:space="preserve">Duplicate e-mails</t>
  </si>
  <si>
    <t xml:space="preserve">Duplicate phone numbers</t>
  </si>
  <si>
    <t xml:space="preserve">E-mails missing "@"</t>
  </si>
  <si>
    <t xml:space="preserve">Basic format check.</t>
  </si>
  <si>
    <t xml:space="preserve">Phone numbers not 10 digits</t>
  </si>
  <si>
    <t xml:space="preserve">All stored as 10-digit text.</t>
  </si>
  <si>
    <t xml:space="preserve">Blank cells in Lead_Master</t>
  </si>
  <si>
    <t xml:space="preserve">No N/A / blank entries in this dataset.</t>
  </si>
  <si>
    <t xml:space="preserve">Leads sharing a name with another lead</t>
  </si>
  <si>
    <t xml:space="preserve">Info only: different e-mail and phone, so treated as different people, not duplicates.</t>
  </si>
  <si>
    <t xml:space="preserve">Interactions with unknown Lead ID</t>
  </si>
  <si>
    <t xml:space="preserve">Leads with no interaction</t>
  </si>
  <si>
    <t xml:space="preserve">All leads contacted at least once.</t>
  </si>
  <si>
    <t xml:space="preserve">Interactions dated after the as-of date</t>
  </si>
  <si>
    <t xml:space="preserve">Kept as-is and flagged in Interaction_Log column H — confirm whether these are planned calls or typos.</t>
  </si>
  <si>
    <t xml:space="preserve">Interaction dates out of sequence within a lead</t>
  </si>
  <si>
    <t xml:space="preserve">Outcome order matches the source history, but the date is earlier than the previous row. Kept as-is and flagged.</t>
  </si>
  <si>
    <t xml:space="preserve">Follow-up date not after the interaction</t>
  </si>
  <si>
    <t xml:space="preserve">Follow-up date on/before the last interaction date. Kept as-is and flagged.</t>
  </si>
  <si>
    <t xml:space="preserve">Leads marked Paid earlier, but latest outcome is not Paid</t>
  </si>
  <si>
    <t xml:space="preserve">Latest outcome drives status, so these are NOT counted as Converted. Verify with the sales owner.</t>
  </si>
  <si>
    <t xml:space="preserve">Open leads with no follow-up date</t>
  </si>
  <si>
    <t xml:space="preserve">Follow Up / Pending leads with no next-follow-up date — schedule these.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</si>
</sst>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d\-mmm\-yy"/>
    <numFmt numFmtId="167" formatCode="0"/>
    <numFmt numFmtId="168" formatCode="0.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 patternType="solid">
          <fgColor rgb="FFF4B08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F4B084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E699"/>
      <rgbColor rgb="FF99CCFF"/>
      <rgbColor rgb="FFF4B084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Status (latest outcome per lead)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CRM_Dashboard!B11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CRM_Dashboard!$A$12:$A$22</c:f>
              <c:strCache>
                <c:ptCount val="11"/>
                <c:pt idx="0">
                  <c:v>DNP</c:v>
                </c:pt>
                <c:pt idx="1">
                  <c:v>Details Sent</c:v>
                </c:pt>
                <c:pt idx="2">
                  <c:v>Follow Up</c:v>
                </c:pt>
                <c:pt idx="3">
                  <c:v>Call Back Later</c:v>
                </c:pt>
                <c:pt idx="4">
                  <c:v>Paid</c:v>
                </c:pt>
                <c:pt idx="5">
                  <c:v>Not Interested</c:v>
                </c:pt>
                <c:pt idx="6">
                  <c:v>Switch Off</c:v>
                </c:pt>
                <c:pt idx="7">
                  <c:v>Not Reachable</c:v>
                </c:pt>
                <c:pt idx="8">
                  <c:v>Wrong Number</c:v>
                </c:pt>
                <c:pt idx="9">
                  <c:v>Call Cut</c:v>
                </c:pt>
                <c:pt idx="10">
                  <c:v>Message Sent</c:v>
                </c:pt>
              </c:strCache>
            </c:strRef>
          </c:cat>
          <c:val>
            <c:numRef>
              <c:f>CRM_Dashboard!$B$12:$B$22</c:f>
              <c:numCache>
                <c:formatCode>General</c:formatCode>
                <c:ptCount val="11"/>
                <c:pt idx="0">
                  <c:v>77</c:v>
                </c:pt>
                <c:pt idx="1">
                  <c:v>49</c:v>
                </c:pt>
                <c:pt idx="2">
                  <c:v>41</c:v>
                </c:pt>
                <c:pt idx="3">
                  <c:v>33</c:v>
                </c:pt>
                <c:pt idx="4">
                  <c:v>24</c:v>
                </c:pt>
                <c:pt idx="5">
                  <c:v>24</c:v>
                </c:pt>
                <c:pt idx="6">
                  <c:v>17</c:v>
                </c:pt>
                <c:pt idx="7">
                  <c:v>15</c:v>
                </c:pt>
                <c:pt idx="8">
                  <c:v>9</c:v>
                </c:pt>
                <c:pt idx="9">
                  <c:v>8</c:v>
                </c:pt>
                <c:pt idx="10">
                  <c:v>3</c:v>
                </c:pt>
              </c:numCache>
            </c:numRef>
          </c:val>
        </c:ser>
        <c:gapWidth val="60"/>
        <c:overlap val="0"/>
        <c:axId val="19457594"/>
        <c:axId val="72267593"/>
      </c:barChart>
      <c:catAx>
        <c:axId val="1945759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7593"/>
        <c:crosses val="autoZero"/>
        <c:auto val="1"/>
        <c:lblAlgn val="ctr"/>
        <c:lblOffset val="100"/>
        <c:noMultiLvlLbl val="0"/>
      </c:catAx>
      <c:valAx>
        <c:axId val="7226759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575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Interested Program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CRM_Dashboard!B28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CRM_Dashboard!$A$29:$A$35</c:f>
              <c:strCache>
                <c:ptCount val="7"/>
                <c:pt idx="0">
                  <c:v>Cloud Computing</c:v>
                </c:pt>
                <c:pt idx="1">
                  <c:v>Business Analytics</c:v>
                </c:pt>
                <c:pt idx="2">
                  <c:v>Full Stack Development</c:v>
                </c:pt>
                <c:pt idx="3">
                  <c:v>Data Analytics</c:v>
                </c:pt>
                <c:pt idx="4">
                  <c:v>Cyber Security</c:v>
                </c:pt>
                <c:pt idx="5">
                  <c:v>AI &amp; Machine Learning</c:v>
                </c:pt>
                <c:pt idx="6">
                  <c:v>Digital Marketing</c:v>
                </c:pt>
              </c:strCache>
            </c:strRef>
          </c:cat>
          <c:val>
            <c:numRef>
              <c:f>CRM_Dashboard!$B$29:$B$35</c:f>
              <c:numCache>
                <c:formatCode>General</c:formatCode>
                <c:ptCount val="7"/>
                <c:pt idx="0">
                  <c:v>53</c:v>
                </c:pt>
                <c:pt idx="1">
                  <c:v>48</c:v>
                </c:pt>
                <c:pt idx="2">
                  <c:v>43</c:v>
                </c:pt>
                <c:pt idx="3">
                  <c:v>42</c:v>
                </c:pt>
                <c:pt idx="4">
                  <c:v>40</c:v>
                </c:pt>
                <c:pt idx="5">
                  <c:v>38</c:v>
                </c:pt>
                <c:pt idx="6">
                  <c:v>36</c:v>
                </c:pt>
              </c:numCache>
            </c:numRef>
          </c:val>
        </c:ser>
        <c:gapWidth val="60"/>
        <c:overlap val="0"/>
        <c:axId val="67229261"/>
        <c:axId val="80860414"/>
      </c:barChart>
      <c:catAx>
        <c:axId val="6722926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60414"/>
        <c:crosses val="autoZero"/>
        <c:auto val="1"/>
        <c:lblAlgn val="ctr"/>
        <c:lblOffset val="100"/>
        <c:noMultiLvlLbl val="0"/>
      </c:catAx>
      <c:valAx>
        <c:axId val="8086041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292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Interaction Outcome (all logged interactions)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CRM_Dashboard!B45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CRM_Dashboard!$A$46:$A$56</c:f>
              <c:strCache>
                <c:ptCount val="11"/>
                <c:pt idx="0">
                  <c:v>DNP</c:v>
                </c:pt>
                <c:pt idx="1">
                  <c:v>Details Sent</c:v>
                </c:pt>
                <c:pt idx="2">
                  <c:v>Follow Up</c:v>
                </c:pt>
                <c:pt idx="3">
                  <c:v>Call Back Later</c:v>
                </c:pt>
                <c:pt idx="4">
                  <c:v>Not Interested</c:v>
                </c:pt>
                <c:pt idx="5">
                  <c:v>Not Reachable</c:v>
                </c:pt>
                <c:pt idx="6">
                  <c:v>Paid</c:v>
                </c:pt>
                <c:pt idx="7">
                  <c:v>Switch Off</c:v>
                </c:pt>
                <c:pt idx="8">
                  <c:v>Call Cut</c:v>
                </c:pt>
                <c:pt idx="9">
                  <c:v>Wrong Number</c:v>
                </c:pt>
                <c:pt idx="10">
                  <c:v>Message Sent</c:v>
                </c:pt>
              </c:strCache>
            </c:strRef>
          </c:cat>
          <c:val>
            <c:numRef>
              <c:f>CRM_Dashboard!$B$46:$B$56</c:f>
              <c:numCache>
                <c:formatCode>General</c:formatCode>
                <c:ptCount val="11"/>
                <c:pt idx="0">
                  <c:v>201</c:v>
                </c:pt>
                <c:pt idx="1">
                  <c:v>139</c:v>
                </c:pt>
                <c:pt idx="2">
                  <c:v>95</c:v>
                </c:pt>
                <c:pt idx="3">
                  <c:v>83</c:v>
                </c:pt>
                <c:pt idx="4">
                  <c:v>67</c:v>
                </c:pt>
                <c:pt idx="5">
                  <c:v>40</c:v>
                </c:pt>
                <c:pt idx="6">
                  <c:v>39</c:v>
                </c:pt>
                <c:pt idx="7">
                  <c:v>33</c:v>
                </c:pt>
                <c:pt idx="8">
                  <c:v>22</c:v>
                </c:pt>
                <c:pt idx="9">
                  <c:v>18</c:v>
                </c:pt>
                <c:pt idx="10">
                  <c:v>10</c:v>
                </c:pt>
              </c:numCache>
            </c:numRef>
          </c:val>
        </c:ser>
        <c:gapWidth val="60"/>
        <c:overlap val="0"/>
        <c:axId val="85019010"/>
        <c:axId val="85465343"/>
      </c:barChart>
      <c:catAx>
        <c:axId val="850190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65343"/>
        <c:crosses val="autoZero"/>
        <c:auto val="1"/>
        <c:lblAlgn val="ctr"/>
        <c:lblOffset val="100"/>
        <c:noMultiLvlLbl val="0"/>
      </c:catAx>
      <c:valAx>
        <c:axId val="85465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190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Preferred Language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CRM_Dashboard!B62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CRM_Dashboard!$A$63:$A$65</c:f>
              <c:strCache>
                <c:ptCount val="3"/>
                <c:pt idx="0">
                  <c:v>Hindi</c:v>
                </c:pt>
                <c:pt idx="1">
                  <c:v>English</c:v>
                </c:pt>
                <c:pt idx="2">
                  <c:v>Hinglish</c:v>
                </c:pt>
              </c:strCache>
            </c:strRef>
          </c:cat>
          <c:val>
            <c:numRef>
              <c:f>CRM_Dashboard!$B$63:$B$65</c:f>
              <c:numCache>
                <c:formatCode>General</c:formatCode>
                <c:ptCount val="3"/>
                <c:pt idx="0">
                  <c:v>115</c:v>
                </c:pt>
                <c:pt idx="1">
                  <c:v>97</c:v>
                </c:pt>
                <c:pt idx="2">
                  <c:v>88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9</xdr:row>
      <xdr:rowOff>131040</xdr:rowOff>
    </xdr:from>
    <xdr:to>
      <xdr:col>11</xdr:col>
      <xdr:colOff>692280</xdr:colOff>
      <xdr:row>24</xdr:row>
      <xdr:rowOff>9000</xdr:rowOff>
    </xdr:to>
    <xdr:graphicFrame>
      <xdr:nvGraphicFramePr>
        <xdr:cNvPr id="0" name="Chart 1"/>
        <xdr:cNvGraphicFramePr/>
      </xdr:nvGraphicFramePr>
      <xdr:xfrm>
        <a:off x="4017600" y="217188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26</xdr:row>
      <xdr:rowOff>130680</xdr:rowOff>
    </xdr:from>
    <xdr:to>
      <xdr:col>11</xdr:col>
      <xdr:colOff>692280</xdr:colOff>
      <xdr:row>41</xdr:row>
      <xdr:rowOff>9000</xdr:rowOff>
    </xdr:to>
    <xdr:graphicFrame>
      <xdr:nvGraphicFramePr>
        <xdr:cNvPr id="1" name="Chart 2"/>
        <xdr:cNvGraphicFramePr/>
      </xdr:nvGraphicFramePr>
      <xdr:xfrm>
        <a:off x="4017600" y="541008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43</xdr:row>
      <xdr:rowOff>130680</xdr:rowOff>
    </xdr:from>
    <xdr:to>
      <xdr:col>11</xdr:col>
      <xdr:colOff>692280</xdr:colOff>
      <xdr:row>58</xdr:row>
      <xdr:rowOff>9000</xdr:rowOff>
    </xdr:to>
    <xdr:graphicFrame>
      <xdr:nvGraphicFramePr>
        <xdr:cNvPr id="2" name="Chart 3"/>
        <xdr:cNvGraphicFramePr/>
      </xdr:nvGraphicFramePr>
      <xdr:xfrm>
        <a:off x="4017600" y="864864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60</xdr:row>
      <xdr:rowOff>130680</xdr:rowOff>
    </xdr:from>
    <xdr:to>
      <xdr:col>11</xdr:col>
      <xdr:colOff>692280</xdr:colOff>
      <xdr:row>75</xdr:row>
      <xdr:rowOff>9000</xdr:rowOff>
    </xdr:to>
    <xdr:graphicFrame>
      <xdr:nvGraphicFramePr>
        <xdr:cNvPr id="3" name="Chart 4"/>
        <xdr:cNvGraphicFramePr/>
      </xdr:nvGraphicFramePr>
      <xdr:xfrm>
        <a:off x="4017600" y="11887200"/>
        <a:ext cx="611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n">
        <v>2028</v>
      </c>
      <c r="H2" s="2" t="s">
        <v>16</v>
      </c>
      <c r="I2" s="2" t="s">
        <v>17</v>
      </c>
      <c r="J2" s="4" t="n">
        <v>46207</v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3" t="s">
        <v>21</v>
      </c>
      <c r="E3" s="2" t="s">
        <v>22</v>
      </c>
      <c r="F3" s="2" t="s">
        <v>23</v>
      </c>
      <c r="G3" s="2" t="n">
        <v>2027</v>
      </c>
      <c r="H3" s="2" t="s">
        <v>24</v>
      </c>
      <c r="I3" s="2" t="s">
        <v>17</v>
      </c>
      <c r="J3" s="4" t="n">
        <v>46268</v>
      </c>
    </row>
    <row r="4" customFormat="false" ht="15" hidden="false" customHeight="false" outlineLevel="0" collapsed="false">
      <c r="A4" s="2" t="s">
        <v>25</v>
      </c>
      <c r="B4" s="2" t="s">
        <v>26</v>
      </c>
      <c r="C4" s="2" t="s">
        <v>27</v>
      </c>
      <c r="D4" s="3" t="s">
        <v>28</v>
      </c>
      <c r="E4" s="2" t="s">
        <v>29</v>
      </c>
      <c r="F4" s="2" t="s">
        <v>15</v>
      </c>
      <c r="G4" s="2" t="n">
        <v>2027</v>
      </c>
      <c r="H4" s="2" t="s">
        <v>24</v>
      </c>
      <c r="I4" s="2" t="s">
        <v>17</v>
      </c>
      <c r="J4" s="4" t="n">
        <v>46247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3" t="s">
        <v>33</v>
      </c>
      <c r="E5" s="2" t="s">
        <v>34</v>
      </c>
      <c r="F5" s="2" t="s">
        <v>35</v>
      </c>
      <c r="G5" s="2" t="n">
        <v>2025</v>
      </c>
      <c r="H5" s="2" t="s">
        <v>16</v>
      </c>
      <c r="I5" s="2" t="s">
        <v>36</v>
      </c>
      <c r="J5" s="4" t="n">
        <v>46252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3" t="s">
        <v>40</v>
      </c>
      <c r="E6" s="2" t="s">
        <v>29</v>
      </c>
      <c r="F6" s="2" t="s">
        <v>41</v>
      </c>
      <c r="G6" s="2" t="n">
        <v>2026</v>
      </c>
      <c r="H6" s="2" t="s">
        <v>42</v>
      </c>
      <c r="I6" s="2" t="s">
        <v>43</v>
      </c>
      <c r="J6" s="4" t="n">
        <v>46214</v>
      </c>
    </row>
    <row r="7" customFormat="false" ht="15" hidden="false" customHeight="false" outlineLevel="0" collapsed="false">
      <c r="A7" s="2" t="s">
        <v>44</v>
      </c>
      <c r="B7" s="2" t="s">
        <v>45</v>
      </c>
      <c r="C7" s="2" t="s">
        <v>46</v>
      </c>
      <c r="D7" s="3" t="s">
        <v>47</v>
      </c>
      <c r="E7" s="2" t="s">
        <v>48</v>
      </c>
      <c r="F7" s="2" t="s">
        <v>41</v>
      </c>
      <c r="G7" s="2" t="n">
        <v>2025</v>
      </c>
      <c r="H7" s="2" t="s">
        <v>49</v>
      </c>
      <c r="I7" s="2" t="s">
        <v>17</v>
      </c>
      <c r="J7" s="4" t="n">
        <v>46225</v>
      </c>
    </row>
    <row r="8" customFormat="false" ht="15" hidden="false" customHeight="false" outlineLevel="0" collapsed="false">
      <c r="A8" s="2" t="s">
        <v>50</v>
      </c>
      <c r="B8" s="2" t="s">
        <v>51</v>
      </c>
      <c r="C8" s="2" t="s">
        <v>52</v>
      </c>
      <c r="D8" s="3" t="s">
        <v>53</v>
      </c>
      <c r="E8" s="2" t="s">
        <v>54</v>
      </c>
      <c r="F8" s="2" t="s">
        <v>23</v>
      </c>
      <c r="G8" s="2" t="n">
        <v>2028</v>
      </c>
      <c r="H8" s="2" t="s">
        <v>49</v>
      </c>
      <c r="I8" s="2" t="s">
        <v>43</v>
      </c>
      <c r="J8" s="4" t="n">
        <v>46212</v>
      </c>
    </row>
    <row r="9" customFormat="false" ht="15" hidden="false" customHeight="false" outlineLevel="0" collapsed="false">
      <c r="A9" s="2" t="s">
        <v>55</v>
      </c>
      <c r="B9" s="2" t="s">
        <v>56</v>
      </c>
      <c r="C9" s="2" t="s">
        <v>57</v>
      </c>
      <c r="D9" s="3" t="s">
        <v>58</v>
      </c>
      <c r="E9" s="2" t="s">
        <v>54</v>
      </c>
      <c r="F9" s="2" t="s">
        <v>59</v>
      </c>
      <c r="G9" s="2" t="n">
        <v>2025</v>
      </c>
      <c r="H9" s="2" t="s">
        <v>24</v>
      </c>
      <c r="I9" s="2" t="s">
        <v>17</v>
      </c>
      <c r="J9" s="4" t="n">
        <v>46275</v>
      </c>
    </row>
    <row r="10" customFormat="false" ht="15" hidden="false" customHeight="false" outlineLevel="0" collapsed="false">
      <c r="A10" s="2" t="s">
        <v>60</v>
      </c>
      <c r="B10" s="2" t="s">
        <v>61</v>
      </c>
      <c r="C10" s="2" t="s">
        <v>62</v>
      </c>
      <c r="D10" s="3" t="s">
        <v>63</v>
      </c>
      <c r="E10" s="2" t="s">
        <v>48</v>
      </c>
      <c r="F10" s="2" t="s">
        <v>64</v>
      </c>
      <c r="G10" s="2" t="n">
        <v>2025</v>
      </c>
      <c r="H10" s="2" t="s">
        <v>42</v>
      </c>
      <c r="I10" s="2" t="s">
        <v>36</v>
      </c>
      <c r="J10" s="4" t="n">
        <v>46291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67</v>
      </c>
      <c r="D11" s="3" t="s">
        <v>68</v>
      </c>
      <c r="E11" s="2" t="s">
        <v>69</v>
      </c>
      <c r="F11" s="2" t="s">
        <v>41</v>
      </c>
      <c r="G11" s="2" t="n">
        <v>2026</v>
      </c>
      <c r="H11" s="2" t="s">
        <v>70</v>
      </c>
      <c r="I11" s="2" t="s">
        <v>17</v>
      </c>
      <c r="J11" s="4" t="n">
        <v>46247</v>
      </c>
    </row>
    <row r="12" customFormat="false" ht="15" hidden="false" customHeight="false" outlineLevel="0" collapsed="false">
      <c r="A12" s="2" t="s">
        <v>71</v>
      </c>
      <c r="B12" s="2" t="s">
        <v>72</v>
      </c>
      <c r="C12" s="2" t="s">
        <v>73</v>
      </c>
      <c r="D12" s="3" t="s">
        <v>74</v>
      </c>
      <c r="E12" s="2" t="s">
        <v>75</v>
      </c>
      <c r="F12" s="2" t="s">
        <v>59</v>
      </c>
      <c r="G12" s="2" t="n">
        <v>2027</v>
      </c>
      <c r="H12" s="2" t="s">
        <v>76</v>
      </c>
      <c r="I12" s="2" t="s">
        <v>17</v>
      </c>
      <c r="J12" s="4" t="n">
        <v>46268</v>
      </c>
    </row>
    <row r="13" customFormat="false" ht="15" hidden="false" customHeight="false" outlineLevel="0" collapsed="false">
      <c r="A13" s="2" t="s">
        <v>77</v>
      </c>
      <c r="B13" s="2" t="s">
        <v>78</v>
      </c>
      <c r="C13" s="2" t="s">
        <v>79</v>
      </c>
      <c r="D13" s="3" t="s">
        <v>80</v>
      </c>
      <c r="E13" s="2" t="s">
        <v>69</v>
      </c>
      <c r="F13" s="2" t="s">
        <v>23</v>
      </c>
      <c r="G13" s="2" t="n">
        <v>2025</v>
      </c>
      <c r="H13" s="2" t="s">
        <v>24</v>
      </c>
      <c r="I13" s="2" t="s">
        <v>36</v>
      </c>
      <c r="J13" s="4" t="n">
        <v>46243</v>
      </c>
    </row>
    <row r="14" customFormat="false" ht="15" hidden="false" customHeight="false" outlineLevel="0" collapsed="false">
      <c r="A14" s="2" t="s">
        <v>81</v>
      </c>
      <c r="B14" s="2" t="s">
        <v>82</v>
      </c>
      <c r="C14" s="2" t="s">
        <v>83</v>
      </c>
      <c r="D14" s="3" t="s">
        <v>84</v>
      </c>
      <c r="E14" s="2" t="s">
        <v>75</v>
      </c>
      <c r="F14" s="2" t="s">
        <v>85</v>
      </c>
      <c r="G14" s="2" t="n">
        <v>2026</v>
      </c>
      <c r="H14" s="2" t="s">
        <v>42</v>
      </c>
      <c r="I14" s="2" t="s">
        <v>43</v>
      </c>
      <c r="J14" s="4" t="n">
        <v>46264</v>
      </c>
    </row>
    <row r="15" customFormat="false" ht="15" hidden="false" customHeight="false" outlineLevel="0" collapsed="false">
      <c r="A15" s="2" t="s">
        <v>86</v>
      </c>
      <c r="B15" s="2" t="s">
        <v>87</v>
      </c>
      <c r="C15" s="2" t="s">
        <v>88</v>
      </c>
      <c r="D15" s="3" t="s">
        <v>89</v>
      </c>
      <c r="E15" s="2" t="s">
        <v>22</v>
      </c>
      <c r="F15" s="2" t="s">
        <v>15</v>
      </c>
      <c r="G15" s="2" t="n">
        <v>2026</v>
      </c>
      <c r="H15" s="2" t="s">
        <v>16</v>
      </c>
      <c r="I15" s="2" t="s">
        <v>17</v>
      </c>
      <c r="J15" s="4" t="n">
        <v>46251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2" t="s">
        <v>92</v>
      </c>
      <c r="D16" s="3" t="s">
        <v>93</v>
      </c>
      <c r="E16" s="2" t="s">
        <v>34</v>
      </c>
      <c r="F16" s="2" t="s">
        <v>15</v>
      </c>
      <c r="G16" s="2" t="n">
        <v>2028</v>
      </c>
      <c r="H16" s="2" t="s">
        <v>49</v>
      </c>
      <c r="I16" s="2" t="s">
        <v>43</v>
      </c>
      <c r="J16" s="4" t="n">
        <v>46208</v>
      </c>
    </row>
    <row r="17" customFormat="false" ht="15" hidden="false" customHeight="false" outlineLevel="0" collapsed="false">
      <c r="A17" s="2" t="s">
        <v>94</v>
      </c>
      <c r="B17" s="2" t="s">
        <v>95</v>
      </c>
      <c r="C17" s="2" t="s">
        <v>96</v>
      </c>
      <c r="D17" s="3" t="s">
        <v>97</v>
      </c>
      <c r="E17" s="2" t="s">
        <v>14</v>
      </c>
      <c r="F17" s="2" t="s">
        <v>59</v>
      </c>
      <c r="G17" s="2" t="n">
        <v>2028</v>
      </c>
      <c r="H17" s="2" t="s">
        <v>42</v>
      </c>
      <c r="I17" s="2" t="s">
        <v>43</v>
      </c>
      <c r="J17" s="4" t="n">
        <v>46216</v>
      </c>
    </row>
    <row r="18" customFormat="false" ht="15" hidden="false" customHeight="false" outlineLevel="0" collapsed="false">
      <c r="A18" s="2" t="s">
        <v>98</v>
      </c>
      <c r="B18" s="2" t="s">
        <v>99</v>
      </c>
      <c r="C18" s="2" t="s">
        <v>100</v>
      </c>
      <c r="D18" s="3" t="s">
        <v>101</v>
      </c>
      <c r="E18" s="2" t="s">
        <v>75</v>
      </c>
      <c r="F18" s="2" t="s">
        <v>59</v>
      </c>
      <c r="G18" s="2" t="n">
        <v>2025</v>
      </c>
      <c r="H18" s="2" t="s">
        <v>42</v>
      </c>
      <c r="I18" s="2" t="s">
        <v>36</v>
      </c>
      <c r="J18" s="4" t="n">
        <v>46228</v>
      </c>
    </row>
    <row r="19" customFormat="false" ht="15" hidden="false" customHeight="false" outlineLevel="0" collapsed="false">
      <c r="A19" s="2" t="s">
        <v>102</v>
      </c>
      <c r="B19" s="2" t="s">
        <v>103</v>
      </c>
      <c r="C19" s="2" t="s">
        <v>104</v>
      </c>
      <c r="D19" s="3" t="s">
        <v>105</v>
      </c>
      <c r="E19" s="2" t="s">
        <v>106</v>
      </c>
      <c r="F19" s="2" t="s">
        <v>59</v>
      </c>
      <c r="G19" s="2" t="n">
        <v>2028</v>
      </c>
      <c r="H19" s="2" t="s">
        <v>107</v>
      </c>
      <c r="I19" s="2" t="s">
        <v>43</v>
      </c>
      <c r="J19" s="4" t="n">
        <v>46234</v>
      </c>
    </row>
    <row r="20" customFormat="false" ht="15" hidden="false" customHeight="false" outlineLevel="0" collapsed="false">
      <c r="A20" s="2" t="s">
        <v>108</v>
      </c>
      <c r="B20" s="2" t="s">
        <v>109</v>
      </c>
      <c r="C20" s="2" t="s">
        <v>110</v>
      </c>
      <c r="D20" s="3" t="s">
        <v>111</v>
      </c>
      <c r="E20" s="2" t="s">
        <v>112</v>
      </c>
      <c r="F20" s="2" t="s">
        <v>15</v>
      </c>
      <c r="G20" s="2" t="n">
        <v>2028</v>
      </c>
      <c r="H20" s="2" t="s">
        <v>70</v>
      </c>
      <c r="I20" s="2" t="s">
        <v>36</v>
      </c>
      <c r="J20" s="4" t="n">
        <v>46275</v>
      </c>
    </row>
    <row r="21" customFormat="false" ht="15" hidden="false" customHeight="false" outlineLevel="0" collapsed="false">
      <c r="A21" s="2" t="s">
        <v>113</v>
      </c>
      <c r="B21" s="2" t="s">
        <v>114</v>
      </c>
      <c r="C21" s="2" t="s">
        <v>115</v>
      </c>
      <c r="D21" s="3" t="s">
        <v>116</v>
      </c>
      <c r="E21" s="2" t="s">
        <v>14</v>
      </c>
      <c r="F21" s="2" t="s">
        <v>15</v>
      </c>
      <c r="G21" s="2" t="n">
        <v>2026</v>
      </c>
      <c r="H21" s="2" t="s">
        <v>70</v>
      </c>
      <c r="I21" s="2" t="s">
        <v>36</v>
      </c>
      <c r="J21" s="4" t="n">
        <v>46214</v>
      </c>
    </row>
    <row r="22" customFormat="false" ht="15" hidden="false" customHeight="false" outlineLevel="0" collapsed="false">
      <c r="A22" s="2" t="s">
        <v>117</v>
      </c>
      <c r="B22" s="2" t="s">
        <v>118</v>
      </c>
      <c r="C22" s="2" t="s">
        <v>119</v>
      </c>
      <c r="D22" s="3" t="s">
        <v>120</v>
      </c>
      <c r="E22" s="2" t="s">
        <v>121</v>
      </c>
      <c r="F22" s="2" t="s">
        <v>64</v>
      </c>
      <c r="G22" s="2" t="n">
        <v>2027</v>
      </c>
      <c r="H22" s="2" t="s">
        <v>76</v>
      </c>
      <c r="I22" s="2" t="s">
        <v>43</v>
      </c>
      <c r="J22" s="4" t="n">
        <v>46257</v>
      </c>
    </row>
    <row r="23" customFormat="false" ht="15" hidden="false" customHeight="false" outlineLevel="0" collapsed="false">
      <c r="A23" s="2" t="s">
        <v>122</v>
      </c>
      <c r="B23" s="2" t="s">
        <v>123</v>
      </c>
      <c r="C23" s="2" t="s">
        <v>124</v>
      </c>
      <c r="D23" s="3" t="s">
        <v>125</v>
      </c>
      <c r="E23" s="2" t="s">
        <v>121</v>
      </c>
      <c r="F23" s="2" t="s">
        <v>41</v>
      </c>
      <c r="G23" s="2" t="n">
        <v>2025</v>
      </c>
      <c r="H23" s="2" t="s">
        <v>49</v>
      </c>
      <c r="I23" s="2" t="s">
        <v>43</v>
      </c>
      <c r="J23" s="4" t="n">
        <v>46283</v>
      </c>
    </row>
    <row r="24" customFormat="false" ht="15" hidden="false" customHeight="false" outlineLevel="0" collapsed="false">
      <c r="A24" s="2" t="s">
        <v>126</v>
      </c>
      <c r="B24" s="2" t="s">
        <v>127</v>
      </c>
      <c r="C24" s="2" t="s">
        <v>128</v>
      </c>
      <c r="D24" s="3" t="s">
        <v>129</v>
      </c>
      <c r="E24" s="2" t="s">
        <v>75</v>
      </c>
      <c r="F24" s="2" t="s">
        <v>41</v>
      </c>
      <c r="G24" s="2" t="n">
        <v>2025</v>
      </c>
      <c r="H24" s="2" t="s">
        <v>49</v>
      </c>
      <c r="I24" s="2" t="s">
        <v>43</v>
      </c>
      <c r="J24" s="4" t="n">
        <v>46273</v>
      </c>
    </row>
    <row r="25" customFormat="false" ht="15" hidden="false" customHeight="false" outlineLevel="0" collapsed="false">
      <c r="A25" s="2" t="s">
        <v>130</v>
      </c>
      <c r="B25" s="2" t="s">
        <v>131</v>
      </c>
      <c r="C25" s="2" t="s">
        <v>132</v>
      </c>
      <c r="D25" s="3" t="s">
        <v>133</v>
      </c>
      <c r="E25" s="2" t="s">
        <v>48</v>
      </c>
      <c r="F25" s="2" t="s">
        <v>85</v>
      </c>
      <c r="G25" s="2" t="n">
        <v>2027</v>
      </c>
      <c r="H25" s="2" t="s">
        <v>70</v>
      </c>
      <c r="I25" s="2" t="s">
        <v>43</v>
      </c>
      <c r="J25" s="4" t="n">
        <v>46274</v>
      </c>
    </row>
    <row r="26" customFormat="false" ht="15" hidden="false" customHeight="false" outlineLevel="0" collapsed="false">
      <c r="A26" s="2" t="s">
        <v>134</v>
      </c>
      <c r="B26" s="2" t="s">
        <v>135</v>
      </c>
      <c r="C26" s="2" t="s">
        <v>136</v>
      </c>
      <c r="D26" s="3" t="s">
        <v>137</v>
      </c>
      <c r="E26" s="2" t="s">
        <v>29</v>
      </c>
      <c r="F26" s="2" t="s">
        <v>85</v>
      </c>
      <c r="G26" s="2" t="n">
        <v>2026</v>
      </c>
      <c r="H26" s="2" t="s">
        <v>42</v>
      </c>
      <c r="I26" s="2" t="s">
        <v>43</v>
      </c>
      <c r="J26" s="4" t="n">
        <v>46210</v>
      </c>
    </row>
    <row r="27" customFormat="false" ht="15" hidden="false" customHeight="false" outlineLevel="0" collapsed="false">
      <c r="A27" s="2" t="s">
        <v>138</v>
      </c>
      <c r="B27" s="2" t="s">
        <v>139</v>
      </c>
      <c r="C27" s="2" t="s">
        <v>140</v>
      </c>
      <c r="D27" s="3" t="s">
        <v>141</v>
      </c>
      <c r="E27" s="2" t="s">
        <v>29</v>
      </c>
      <c r="F27" s="2" t="s">
        <v>15</v>
      </c>
      <c r="G27" s="2" t="n">
        <v>2026</v>
      </c>
      <c r="H27" s="2" t="s">
        <v>76</v>
      </c>
      <c r="I27" s="2" t="s">
        <v>17</v>
      </c>
      <c r="J27" s="4" t="n">
        <v>46274</v>
      </c>
    </row>
    <row r="28" customFormat="false" ht="15" hidden="false" customHeight="false" outlineLevel="0" collapsed="false">
      <c r="A28" s="2" t="s">
        <v>142</v>
      </c>
      <c r="B28" s="2" t="s">
        <v>143</v>
      </c>
      <c r="C28" s="2" t="s">
        <v>144</v>
      </c>
      <c r="D28" s="3" t="s">
        <v>145</v>
      </c>
      <c r="E28" s="2" t="s">
        <v>34</v>
      </c>
      <c r="F28" s="2" t="s">
        <v>64</v>
      </c>
      <c r="G28" s="2" t="n">
        <v>2026</v>
      </c>
      <c r="H28" s="2" t="s">
        <v>49</v>
      </c>
      <c r="I28" s="2" t="s">
        <v>17</v>
      </c>
      <c r="J28" s="4" t="n">
        <v>46209</v>
      </c>
    </row>
    <row r="29" customFormat="false" ht="15" hidden="false" customHeight="false" outlineLevel="0" collapsed="false">
      <c r="A29" s="2" t="s">
        <v>146</v>
      </c>
      <c r="B29" s="2" t="s">
        <v>147</v>
      </c>
      <c r="C29" s="2" t="s">
        <v>148</v>
      </c>
      <c r="D29" s="3" t="s">
        <v>149</v>
      </c>
      <c r="E29" s="2" t="s">
        <v>121</v>
      </c>
      <c r="F29" s="2" t="s">
        <v>85</v>
      </c>
      <c r="G29" s="2" t="n">
        <v>2025</v>
      </c>
      <c r="H29" s="2" t="s">
        <v>76</v>
      </c>
      <c r="I29" s="2" t="s">
        <v>17</v>
      </c>
      <c r="J29" s="4" t="n">
        <v>46207</v>
      </c>
    </row>
    <row r="30" customFormat="false" ht="15" hidden="false" customHeight="false" outlineLevel="0" collapsed="false">
      <c r="A30" s="2" t="s">
        <v>150</v>
      </c>
      <c r="B30" s="2" t="s">
        <v>99</v>
      </c>
      <c r="C30" s="2" t="s">
        <v>151</v>
      </c>
      <c r="D30" s="3" t="s">
        <v>152</v>
      </c>
      <c r="E30" s="2" t="s">
        <v>106</v>
      </c>
      <c r="F30" s="2" t="s">
        <v>41</v>
      </c>
      <c r="G30" s="2" t="n">
        <v>2027</v>
      </c>
      <c r="H30" s="2" t="s">
        <v>24</v>
      </c>
      <c r="I30" s="2" t="s">
        <v>17</v>
      </c>
      <c r="J30" s="4" t="n">
        <v>46262</v>
      </c>
    </row>
    <row r="31" customFormat="false" ht="15" hidden="false" customHeight="false" outlineLevel="0" collapsed="false">
      <c r="A31" s="2" t="s">
        <v>153</v>
      </c>
      <c r="B31" s="2" t="s">
        <v>154</v>
      </c>
      <c r="C31" s="2" t="s">
        <v>155</v>
      </c>
      <c r="D31" s="3" t="s">
        <v>156</v>
      </c>
      <c r="E31" s="2" t="s">
        <v>121</v>
      </c>
      <c r="F31" s="2" t="s">
        <v>15</v>
      </c>
      <c r="G31" s="2" t="n">
        <v>2027</v>
      </c>
      <c r="H31" s="2" t="s">
        <v>16</v>
      </c>
      <c r="I31" s="2" t="s">
        <v>17</v>
      </c>
      <c r="J31" s="4" t="n">
        <v>46269</v>
      </c>
    </row>
    <row r="32" customFormat="false" ht="15" hidden="false" customHeight="false" outlineLevel="0" collapsed="false">
      <c r="A32" s="2" t="s">
        <v>157</v>
      </c>
      <c r="B32" s="2" t="s">
        <v>158</v>
      </c>
      <c r="C32" s="2" t="s">
        <v>159</v>
      </c>
      <c r="D32" s="3" t="s">
        <v>160</v>
      </c>
      <c r="E32" s="2" t="s">
        <v>75</v>
      </c>
      <c r="F32" s="2" t="s">
        <v>85</v>
      </c>
      <c r="G32" s="2" t="n">
        <v>2026</v>
      </c>
      <c r="H32" s="2" t="s">
        <v>107</v>
      </c>
      <c r="I32" s="2" t="s">
        <v>43</v>
      </c>
      <c r="J32" s="4" t="n">
        <v>46244</v>
      </c>
    </row>
    <row r="33" customFormat="false" ht="15" hidden="false" customHeight="false" outlineLevel="0" collapsed="false">
      <c r="A33" s="2" t="s">
        <v>161</v>
      </c>
      <c r="B33" s="2" t="s">
        <v>162</v>
      </c>
      <c r="C33" s="2" t="s">
        <v>163</v>
      </c>
      <c r="D33" s="3" t="s">
        <v>164</v>
      </c>
      <c r="E33" s="2" t="s">
        <v>106</v>
      </c>
      <c r="F33" s="2" t="s">
        <v>41</v>
      </c>
      <c r="G33" s="2" t="n">
        <v>2028</v>
      </c>
      <c r="H33" s="2" t="s">
        <v>42</v>
      </c>
      <c r="I33" s="2" t="s">
        <v>43</v>
      </c>
      <c r="J33" s="4" t="n">
        <v>46246</v>
      </c>
    </row>
    <row r="34" customFormat="false" ht="15" hidden="false" customHeight="false" outlineLevel="0" collapsed="false">
      <c r="A34" s="2" t="s">
        <v>165</v>
      </c>
      <c r="B34" s="2" t="s">
        <v>166</v>
      </c>
      <c r="C34" s="2" t="s">
        <v>167</v>
      </c>
      <c r="D34" s="3" t="s">
        <v>168</v>
      </c>
      <c r="E34" s="2" t="s">
        <v>169</v>
      </c>
      <c r="F34" s="2" t="s">
        <v>35</v>
      </c>
      <c r="G34" s="2" t="n">
        <v>2028</v>
      </c>
      <c r="H34" s="2" t="s">
        <v>24</v>
      </c>
      <c r="I34" s="2" t="s">
        <v>36</v>
      </c>
      <c r="J34" s="4" t="n">
        <v>46289</v>
      </c>
    </row>
    <row r="35" customFormat="false" ht="15" hidden="false" customHeight="false" outlineLevel="0" collapsed="false">
      <c r="A35" s="2" t="s">
        <v>170</v>
      </c>
      <c r="B35" s="2" t="s">
        <v>171</v>
      </c>
      <c r="C35" s="2" t="s">
        <v>172</v>
      </c>
      <c r="D35" s="3" t="s">
        <v>173</v>
      </c>
      <c r="E35" s="2" t="s">
        <v>121</v>
      </c>
      <c r="F35" s="2" t="s">
        <v>64</v>
      </c>
      <c r="G35" s="2" t="n">
        <v>2025</v>
      </c>
      <c r="H35" s="2" t="s">
        <v>107</v>
      </c>
      <c r="I35" s="2" t="s">
        <v>36</v>
      </c>
      <c r="J35" s="4" t="n">
        <v>46260</v>
      </c>
    </row>
    <row r="36" customFormat="false" ht="15" hidden="false" customHeight="false" outlineLevel="0" collapsed="false">
      <c r="A36" s="2" t="s">
        <v>174</v>
      </c>
      <c r="B36" s="2" t="s">
        <v>175</v>
      </c>
      <c r="C36" s="2" t="s">
        <v>176</v>
      </c>
      <c r="D36" s="3" t="s">
        <v>177</v>
      </c>
      <c r="E36" s="2" t="s">
        <v>34</v>
      </c>
      <c r="F36" s="2" t="s">
        <v>85</v>
      </c>
      <c r="G36" s="2" t="n">
        <v>2025</v>
      </c>
      <c r="H36" s="2" t="s">
        <v>76</v>
      </c>
      <c r="I36" s="2" t="s">
        <v>43</v>
      </c>
      <c r="J36" s="4" t="n">
        <v>46234</v>
      </c>
    </row>
    <row r="37" customFormat="false" ht="15" hidden="false" customHeight="false" outlineLevel="0" collapsed="false">
      <c r="A37" s="2" t="s">
        <v>178</v>
      </c>
      <c r="B37" s="2" t="s">
        <v>179</v>
      </c>
      <c r="C37" s="2" t="s">
        <v>180</v>
      </c>
      <c r="D37" s="3" t="s">
        <v>181</v>
      </c>
      <c r="E37" s="2" t="s">
        <v>106</v>
      </c>
      <c r="F37" s="2" t="s">
        <v>35</v>
      </c>
      <c r="G37" s="2" t="n">
        <v>2026</v>
      </c>
      <c r="H37" s="2" t="s">
        <v>24</v>
      </c>
      <c r="I37" s="2" t="s">
        <v>36</v>
      </c>
      <c r="J37" s="4" t="n">
        <v>46253</v>
      </c>
    </row>
    <row r="38" customFormat="false" ht="15" hidden="false" customHeight="false" outlineLevel="0" collapsed="false">
      <c r="A38" s="2" t="s">
        <v>182</v>
      </c>
      <c r="B38" s="2" t="s">
        <v>114</v>
      </c>
      <c r="C38" s="2" t="s">
        <v>183</v>
      </c>
      <c r="D38" s="3" t="s">
        <v>184</v>
      </c>
      <c r="E38" s="2" t="s">
        <v>34</v>
      </c>
      <c r="F38" s="2" t="s">
        <v>41</v>
      </c>
      <c r="G38" s="2" t="n">
        <v>2028</v>
      </c>
      <c r="H38" s="2" t="s">
        <v>70</v>
      </c>
      <c r="I38" s="2" t="s">
        <v>36</v>
      </c>
      <c r="J38" s="4" t="n">
        <v>46235</v>
      </c>
    </row>
    <row r="39" customFormat="false" ht="15" hidden="false" customHeight="false" outlineLevel="0" collapsed="false">
      <c r="A39" s="2" t="s">
        <v>185</v>
      </c>
      <c r="B39" s="2" t="s">
        <v>186</v>
      </c>
      <c r="C39" s="2" t="s">
        <v>187</v>
      </c>
      <c r="D39" s="3" t="s">
        <v>188</v>
      </c>
      <c r="E39" s="2" t="s">
        <v>169</v>
      </c>
      <c r="F39" s="2" t="s">
        <v>85</v>
      </c>
      <c r="G39" s="2" t="n">
        <v>2028</v>
      </c>
      <c r="H39" s="2" t="s">
        <v>42</v>
      </c>
      <c r="I39" s="2" t="s">
        <v>17</v>
      </c>
      <c r="J39" s="4" t="n">
        <v>46274</v>
      </c>
    </row>
    <row r="40" customFormat="false" ht="15" hidden="false" customHeight="false" outlineLevel="0" collapsed="false">
      <c r="A40" s="2" t="s">
        <v>189</v>
      </c>
      <c r="B40" s="2" t="s">
        <v>190</v>
      </c>
      <c r="C40" s="2" t="s">
        <v>191</v>
      </c>
      <c r="D40" s="3" t="s">
        <v>192</v>
      </c>
      <c r="E40" s="2" t="s">
        <v>22</v>
      </c>
      <c r="F40" s="2" t="s">
        <v>23</v>
      </c>
      <c r="G40" s="2" t="n">
        <v>2026</v>
      </c>
      <c r="H40" s="2" t="s">
        <v>42</v>
      </c>
      <c r="I40" s="2" t="s">
        <v>17</v>
      </c>
      <c r="J40" s="4" t="n">
        <v>46240</v>
      </c>
    </row>
    <row r="41" customFormat="false" ht="15" hidden="false" customHeight="false" outlineLevel="0" collapsed="false">
      <c r="A41" s="2" t="s">
        <v>193</v>
      </c>
      <c r="B41" s="2" t="s">
        <v>194</v>
      </c>
      <c r="C41" s="2" t="s">
        <v>195</v>
      </c>
      <c r="D41" s="3" t="s">
        <v>196</v>
      </c>
      <c r="E41" s="2" t="s">
        <v>112</v>
      </c>
      <c r="F41" s="2" t="s">
        <v>85</v>
      </c>
      <c r="G41" s="2" t="n">
        <v>2028</v>
      </c>
      <c r="H41" s="2" t="s">
        <v>76</v>
      </c>
      <c r="I41" s="2" t="s">
        <v>17</v>
      </c>
      <c r="J41" s="4" t="n">
        <v>46246</v>
      </c>
    </row>
    <row r="42" customFormat="false" ht="15" hidden="false" customHeight="false" outlineLevel="0" collapsed="false">
      <c r="A42" s="2" t="s">
        <v>197</v>
      </c>
      <c r="B42" s="2" t="s">
        <v>198</v>
      </c>
      <c r="C42" s="2" t="s">
        <v>199</v>
      </c>
      <c r="D42" s="3" t="s">
        <v>200</v>
      </c>
      <c r="E42" s="2" t="s">
        <v>106</v>
      </c>
      <c r="F42" s="2" t="s">
        <v>23</v>
      </c>
      <c r="G42" s="2" t="n">
        <v>2025</v>
      </c>
      <c r="H42" s="2" t="s">
        <v>76</v>
      </c>
      <c r="I42" s="2" t="s">
        <v>43</v>
      </c>
      <c r="J42" s="4" t="n">
        <v>46253</v>
      </c>
    </row>
    <row r="43" customFormat="false" ht="15" hidden="false" customHeight="false" outlineLevel="0" collapsed="false">
      <c r="A43" s="2" t="s">
        <v>201</v>
      </c>
      <c r="B43" s="2" t="s">
        <v>202</v>
      </c>
      <c r="C43" s="2" t="s">
        <v>203</v>
      </c>
      <c r="D43" s="3" t="s">
        <v>204</v>
      </c>
      <c r="E43" s="2" t="s">
        <v>48</v>
      </c>
      <c r="F43" s="2" t="s">
        <v>59</v>
      </c>
      <c r="G43" s="2" t="n">
        <v>2025</v>
      </c>
      <c r="H43" s="2" t="s">
        <v>42</v>
      </c>
      <c r="I43" s="2" t="s">
        <v>43</v>
      </c>
      <c r="J43" s="4" t="n">
        <v>46263</v>
      </c>
    </row>
    <row r="44" customFormat="false" ht="15" hidden="false" customHeight="false" outlineLevel="0" collapsed="false">
      <c r="A44" s="2" t="s">
        <v>205</v>
      </c>
      <c r="B44" s="2" t="s">
        <v>206</v>
      </c>
      <c r="C44" s="2" t="s">
        <v>207</v>
      </c>
      <c r="D44" s="3" t="s">
        <v>208</v>
      </c>
      <c r="E44" s="2" t="s">
        <v>29</v>
      </c>
      <c r="F44" s="2" t="s">
        <v>41</v>
      </c>
      <c r="G44" s="2" t="n">
        <v>2028</v>
      </c>
      <c r="H44" s="2" t="s">
        <v>107</v>
      </c>
      <c r="I44" s="2" t="s">
        <v>43</v>
      </c>
      <c r="J44" s="4" t="n">
        <v>46227</v>
      </c>
    </row>
    <row r="45" customFormat="false" ht="15" hidden="false" customHeight="false" outlineLevel="0" collapsed="false">
      <c r="A45" s="2" t="s">
        <v>209</v>
      </c>
      <c r="B45" s="2" t="s">
        <v>210</v>
      </c>
      <c r="C45" s="2" t="s">
        <v>211</v>
      </c>
      <c r="D45" s="3" t="s">
        <v>212</v>
      </c>
      <c r="E45" s="2" t="s">
        <v>22</v>
      </c>
      <c r="F45" s="2" t="s">
        <v>64</v>
      </c>
      <c r="G45" s="2" t="n">
        <v>2025</v>
      </c>
      <c r="H45" s="2" t="s">
        <v>24</v>
      </c>
      <c r="I45" s="2" t="s">
        <v>36</v>
      </c>
      <c r="J45" s="4" t="n">
        <v>46264</v>
      </c>
    </row>
    <row r="46" customFormat="false" ht="15" hidden="false" customHeight="false" outlineLevel="0" collapsed="false">
      <c r="A46" s="2" t="s">
        <v>213</v>
      </c>
      <c r="B46" s="2" t="s">
        <v>214</v>
      </c>
      <c r="C46" s="2" t="s">
        <v>215</v>
      </c>
      <c r="D46" s="3" t="s">
        <v>216</v>
      </c>
      <c r="E46" s="2" t="s">
        <v>14</v>
      </c>
      <c r="F46" s="2" t="s">
        <v>15</v>
      </c>
      <c r="G46" s="2" t="n">
        <v>2026</v>
      </c>
      <c r="H46" s="2" t="s">
        <v>76</v>
      </c>
      <c r="I46" s="2" t="s">
        <v>36</v>
      </c>
      <c r="J46" s="4" t="n">
        <v>46235</v>
      </c>
    </row>
    <row r="47" customFormat="false" ht="15" hidden="false" customHeight="false" outlineLevel="0" collapsed="false">
      <c r="A47" s="2" t="s">
        <v>217</v>
      </c>
      <c r="B47" s="2" t="s">
        <v>218</v>
      </c>
      <c r="C47" s="2" t="s">
        <v>219</v>
      </c>
      <c r="D47" s="3" t="s">
        <v>220</v>
      </c>
      <c r="E47" s="2" t="s">
        <v>14</v>
      </c>
      <c r="F47" s="2" t="s">
        <v>15</v>
      </c>
      <c r="G47" s="2" t="n">
        <v>2025</v>
      </c>
      <c r="H47" s="2" t="s">
        <v>107</v>
      </c>
      <c r="I47" s="2" t="s">
        <v>36</v>
      </c>
      <c r="J47" s="4" t="n">
        <v>46225</v>
      </c>
    </row>
    <row r="48" customFormat="false" ht="15" hidden="false" customHeight="false" outlineLevel="0" collapsed="false">
      <c r="A48" s="2" t="s">
        <v>221</v>
      </c>
      <c r="B48" s="2" t="s">
        <v>222</v>
      </c>
      <c r="C48" s="2" t="s">
        <v>223</v>
      </c>
      <c r="D48" s="3" t="s">
        <v>224</v>
      </c>
      <c r="E48" s="2" t="s">
        <v>69</v>
      </c>
      <c r="F48" s="2" t="s">
        <v>85</v>
      </c>
      <c r="G48" s="2" t="n">
        <v>2027</v>
      </c>
      <c r="H48" s="2" t="s">
        <v>24</v>
      </c>
      <c r="I48" s="2" t="s">
        <v>36</v>
      </c>
      <c r="J48" s="4" t="n">
        <v>46229</v>
      </c>
    </row>
    <row r="49" customFormat="false" ht="15" hidden="false" customHeight="false" outlineLevel="0" collapsed="false">
      <c r="A49" s="2" t="s">
        <v>225</v>
      </c>
      <c r="B49" s="2" t="s">
        <v>226</v>
      </c>
      <c r="C49" s="2" t="s">
        <v>227</v>
      </c>
      <c r="D49" s="3" t="s">
        <v>228</v>
      </c>
      <c r="E49" s="2" t="s">
        <v>106</v>
      </c>
      <c r="F49" s="2" t="s">
        <v>85</v>
      </c>
      <c r="G49" s="2" t="n">
        <v>2028</v>
      </c>
      <c r="H49" s="2" t="s">
        <v>16</v>
      </c>
      <c r="I49" s="2" t="s">
        <v>43</v>
      </c>
      <c r="J49" s="4" t="n">
        <v>46209</v>
      </c>
    </row>
    <row r="50" customFormat="false" ht="15" hidden="false" customHeight="false" outlineLevel="0" collapsed="false">
      <c r="A50" s="2" t="s">
        <v>229</v>
      </c>
      <c r="B50" s="2" t="s">
        <v>230</v>
      </c>
      <c r="C50" s="2" t="s">
        <v>231</v>
      </c>
      <c r="D50" s="3" t="s">
        <v>232</v>
      </c>
      <c r="E50" s="2" t="s">
        <v>34</v>
      </c>
      <c r="F50" s="2" t="s">
        <v>85</v>
      </c>
      <c r="G50" s="2" t="n">
        <v>2028</v>
      </c>
      <c r="H50" s="2" t="s">
        <v>76</v>
      </c>
      <c r="I50" s="2" t="s">
        <v>43</v>
      </c>
      <c r="J50" s="4" t="n">
        <v>46262</v>
      </c>
    </row>
    <row r="51" customFormat="false" ht="15" hidden="false" customHeight="false" outlineLevel="0" collapsed="false">
      <c r="A51" s="2" t="s">
        <v>233</v>
      </c>
      <c r="B51" s="2" t="s">
        <v>234</v>
      </c>
      <c r="C51" s="2" t="s">
        <v>235</v>
      </c>
      <c r="D51" s="3" t="s">
        <v>236</v>
      </c>
      <c r="E51" s="2" t="s">
        <v>54</v>
      </c>
      <c r="F51" s="2" t="s">
        <v>15</v>
      </c>
      <c r="G51" s="2" t="n">
        <v>2028</v>
      </c>
      <c r="H51" s="2" t="s">
        <v>107</v>
      </c>
      <c r="I51" s="2" t="s">
        <v>17</v>
      </c>
      <c r="J51" s="4" t="n">
        <v>46235</v>
      </c>
    </row>
    <row r="52" customFormat="false" ht="15" hidden="false" customHeight="false" outlineLevel="0" collapsed="false">
      <c r="A52" s="2" t="s">
        <v>237</v>
      </c>
      <c r="B52" s="2" t="s">
        <v>238</v>
      </c>
      <c r="C52" s="2" t="s">
        <v>239</v>
      </c>
      <c r="D52" s="3" t="s">
        <v>240</v>
      </c>
      <c r="E52" s="2" t="s">
        <v>75</v>
      </c>
      <c r="F52" s="2" t="s">
        <v>59</v>
      </c>
      <c r="G52" s="2" t="n">
        <v>2026</v>
      </c>
      <c r="H52" s="2" t="s">
        <v>16</v>
      </c>
      <c r="I52" s="2" t="s">
        <v>17</v>
      </c>
      <c r="J52" s="4" t="n">
        <v>46227</v>
      </c>
    </row>
    <row r="53" customFormat="false" ht="15" hidden="false" customHeight="false" outlineLevel="0" collapsed="false">
      <c r="A53" s="2" t="s">
        <v>241</v>
      </c>
      <c r="B53" s="2" t="s">
        <v>242</v>
      </c>
      <c r="C53" s="2" t="s">
        <v>243</v>
      </c>
      <c r="D53" s="3" t="s">
        <v>244</v>
      </c>
      <c r="E53" s="2" t="s">
        <v>22</v>
      </c>
      <c r="F53" s="2" t="s">
        <v>41</v>
      </c>
      <c r="G53" s="2" t="n">
        <v>2027</v>
      </c>
      <c r="H53" s="2" t="s">
        <v>76</v>
      </c>
      <c r="I53" s="2" t="s">
        <v>36</v>
      </c>
      <c r="J53" s="4" t="n">
        <v>46234</v>
      </c>
    </row>
    <row r="54" customFormat="false" ht="15" hidden="false" customHeight="false" outlineLevel="0" collapsed="false">
      <c r="A54" s="2" t="s">
        <v>245</v>
      </c>
      <c r="B54" s="2" t="s">
        <v>109</v>
      </c>
      <c r="C54" s="2" t="s">
        <v>246</v>
      </c>
      <c r="D54" s="3" t="s">
        <v>247</v>
      </c>
      <c r="E54" s="2" t="s">
        <v>14</v>
      </c>
      <c r="F54" s="2" t="s">
        <v>64</v>
      </c>
      <c r="G54" s="2" t="n">
        <v>2026</v>
      </c>
      <c r="H54" s="2" t="s">
        <v>49</v>
      </c>
      <c r="I54" s="2" t="s">
        <v>17</v>
      </c>
      <c r="J54" s="4" t="n">
        <v>46274</v>
      </c>
    </row>
    <row r="55" customFormat="false" ht="15" hidden="false" customHeight="false" outlineLevel="0" collapsed="false">
      <c r="A55" s="2" t="s">
        <v>248</v>
      </c>
      <c r="B55" s="2" t="s">
        <v>249</v>
      </c>
      <c r="C55" s="2" t="s">
        <v>250</v>
      </c>
      <c r="D55" s="3" t="s">
        <v>251</v>
      </c>
      <c r="E55" s="2" t="s">
        <v>69</v>
      </c>
      <c r="F55" s="2" t="s">
        <v>15</v>
      </c>
      <c r="G55" s="2" t="n">
        <v>2026</v>
      </c>
      <c r="H55" s="2" t="s">
        <v>107</v>
      </c>
      <c r="I55" s="2" t="s">
        <v>17</v>
      </c>
      <c r="J55" s="4" t="n">
        <v>46279</v>
      </c>
    </row>
    <row r="56" customFormat="false" ht="15" hidden="false" customHeight="false" outlineLevel="0" collapsed="false">
      <c r="A56" s="2" t="s">
        <v>252</v>
      </c>
      <c r="B56" s="2" t="s">
        <v>253</v>
      </c>
      <c r="C56" s="2" t="s">
        <v>254</v>
      </c>
      <c r="D56" s="3" t="s">
        <v>255</v>
      </c>
      <c r="E56" s="2" t="s">
        <v>34</v>
      </c>
      <c r="F56" s="2" t="s">
        <v>41</v>
      </c>
      <c r="G56" s="2" t="n">
        <v>2028</v>
      </c>
      <c r="H56" s="2" t="s">
        <v>76</v>
      </c>
      <c r="I56" s="2" t="s">
        <v>43</v>
      </c>
      <c r="J56" s="4" t="n">
        <v>46293</v>
      </c>
    </row>
    <row r="57" customFormat="false" ht="15" hidden="false" customHeight="false" outlineLevel="0" collapsed="false">
      <c r="A57" s="2" t="s">
        <v>256</v>
      </c>
      <c r="B57" s="2" t="s">
        <v>257</v>
      </c>
      <c r="C57" s="2" t="s">
        <v>258</v>
      </c>
      <c r="D57" s="3" t="s">
        <v>259</v>
      </c>
      <c r="E57" s="2" t="s">
        <v>34</v>
      </c>
      <c r="F57" s="2" t="s">
        <v>41</v>
      </c>
      <c r="G57" s="2" t="n">
        <v>2025</v>
      </c>
      <c r="H57" s="2" t="s">
        <v>49</v>
      </c>
      <c r="I57" s="2" t="s">
        <v>17</v>
      </c>
      <c r="J57" s="4" t="n">
        <v>46236</v>
      </c>
    </row>
    <row r="58" customFormat="false" ht="15" hidden="false" customHeight="false" outlineLevel="0" collapsed="false">
      <c r="A58" s="2" t="s">
        <v>260</v>
      </c>
      <c r="B58" s="2" t="s">
        <v>261</v>
      </c>
      <c r="C58" s="2" t="s">
        <v>262</v>
      </c>
      <c r="D58" s="3" t="s">
        <v>263</v>
      </c>
      <c r="E58" s="2" t="s">
        <v>106</v>
      </c>
      <c r="F58" s="2" t="s">
        <v>41</v>
      </c>
      <c r="G58" s="2" t="n">
        <v>2025</v>
      </c>
      <c r="H58" s="2" t="s">
        <v>70</v>
      </c>
      <c r="I58" s="2" t="s">
        <v>36</v>
      </c>
      <c r="J58" s="4" t="n">
        <v>46283</v>
      </c>
    </row>
    <row r="59" customFormat="false" ht="15" hidden="false" customHeight="false" outlineLevel="0" collapsed="false">
      <c r="A59" s="2" t="s">
        <v>264</v>
      </c>
      <c r="B59" s="2" t="s">
        <v>265</v>
      </c>
      <c r="C59" s="2" t="s">
        <v>266</v>
      </c>
      <c r="D59" s="3" t="s">
        <v>267</v>
      </c>
      <c r="E59" s="2" t="s">
        <v>14</v>
      </c>
      <c r="F59" s="2" t="s">
        <v>35</v>
      </c>
      <c r="G59" s="2" t="n">
        <v>2025</v>
      </c>
      <c r="H59" s="2" t="s">
        <v>76</v>
      </c>
      <c r="I59" s="2" t="s">
        <v>43</v>
      </c>
      <c r="J59" s="4" t="n">
        <v>46284</v>
      </c>
    </row>
    <row r="60" customFormat="false" ht="15" hidden="false" customHeight="false" outlineLevel="0" collapsed="false">
      <c r="A60" s="2" t="s">
        <v>268</v>
      </c>
      <c r="B60" s="2" t="s">
        <v>269</v>
      </c>
      <c r="C60" s="2" t="s">
        <v>270</v>
      </c>
      <c r="D60" s="3" t="s">
        <v>271</v>
      </c>
      <c r="E60" s="2" t="s">
        <v>48</v>
      </c>
      <c r="F60" s="2" t="s">
        <v>15</v>
      </c>
      <c r="G60" s="2" t="n">
        <v>2026</v>
      </c>
      <c r="H60" s="2" t="s">
        <v>76</v>
      </c>
      <c r="I60" s="2" t="s">
        <v>17</v>
      </c>
      <c r="J60" s="4" t="n">
        <v>46233</v>
      </c>
    </row>
    <row r="61" customFormat="false" ht="15" hidden="false" customHeight="false" outlineLevel="0" collapsed="false">
      <c r="A61" s="2" t="s">
        <v>272</v>
      </c>
      <c r="B61" s="2" t="s">
        <v>61</v>
      </c>
      <c r="C61" s="2" t="s">
        <v>273</v>
      </c>
      <c r="D61" s="3" t="s">
        <v>274</v>
      </c>
      <c r="E61" s="2" t="s">
        <v>34</v>
      </c>
      <c r="F61" s="2" t="s">
        <v>41</v>
      </c>
      <c r="G61" s="2" t="n">
        <v>2028</v>
      </c>
      <c r="H61" s="2" t="s">
        <v>16</v>
      </c>
      <c r="I61" s="2" t="s">
        <v>43</v>
      </c>
      <c r="J61" s="4" t="n">
        <v>46238</v>
      </c>
    </row>
    <row r="62" customFormat="false" ht="15" hidden="false" customHeight="false" outlineLevel="0" collapsed="false">
      <c r="A62" s="2" t="s">
        <v>275</v>
      </c>
      <c r="B62" s="2" t="s">
        <v>26</v>
      </c>
      <c r="C62" s="2" t="s">
        <v>276</v>
      </c>
      <c r="D62" s="3" t="s">
        <v>277</v>
      </c>
      <c r="E62" s="2" t="s">
        <v>14</v>
      </c>
      <c r="F62" s="2" t="s">
        <v>35</v>
      </c>
      <c r="G62" s="2" t="n">
        <v>2025</v>
      </c>
      <c r="H62" s="2" t="s">
        <v>24</v>
      </c>
      <c r="I62" s="2" t="s">
        <v>36</v>
      </c>
      <c r="J62" s="4" t="n">
        <v>46238</v>
      </c>
    </row>
    <row r="63" customFormat="false" ht="15" hidden="false" customHeight="false" outlineLevel="0" collapsed="false">
      <c r="A63" s="2" t="s">
        <v>278</v>
      </c>
      <c r="B63" s="2" t="s">
        <v>279</v>
      </c>
      <c r="C63" s="2" t="s">
        <v>280</v>
      </c>
      <c r="D63" s="3" t="s">
        <v>281</v>
      </c>
      <c r="E63" s="2" t="s">
        <v>54</v>
      </c>
      <c r="F63" s="2" t="s">
        <v>41</v>
      </c>
      <c r="G63" s="2" t="n">
        <v>2028</v>
      </c>
      <c r="H63" s="2" t="s">
        <v>107</v>
      </c>
      <c r="I63" s="2" t="s">
        <v>43</v>
      </c>
      <c r="J63" s="4" t="n">
        <v>46226</v>
      </c>
    </row>
    <row r="64" customFormat="false" ht="15" hidden="false" customHeight="false" outlineLevel="0" collapsed="false">
      <c r="A64" s="2" t="s">
        <v>282</v>
      </c>
      <c r="B64" s="2" t="s">
        <v>283</v>
      </c>
      <c r="C64" s="2" t="s">
        <v>284</v>
      </c>
      <c r="D64" s="3" t="s">
        <v>285</v>
      </c>
      <c r="E64" s="2" t="s">
        <v>14</v>
      </c>
      <c r="F64" s="2" t="s">
        <v>41</v>
      </c>
      <c r="G64" s="2" t="n">
        <v>2027</v>
      </c>
      <c r="H64" s="2" t="s">
        <v>107</v>
      </c>
      <c r="I64" s="2" t="s">
        <v>17</v>
      </c>
      <c r="J64" s="4" t="n">
        <v>46246</v>
      </c>
    </row>
    <row r="65" customFormat="false" ht="15" hidden="false" customHeight="false" outlineLevel="0" collapsed="false">
      <c r="A65" s="2" t="s">
        <v>286</v>
      </c>
      <c r="B65" s="2" t="s">
        <v>287</v>
      </c>
      <c r="C65" s="2" t="s">
        <v>288</v>
      </c>
      <c r="D65" s="3" t="s">
        <v>289</v>
      </c>
      <c r="E65" s="2" t="s">
        <v>112</v>
      </c>
      <c r="F65" s="2" t="s">
        <v>35</v>
      </c>
      <c r="G65" s="2" t="n">
        <v>2027</v>
      </c>
      <c r="H65" s="2" t="s">
        <v>70</v>
      </c>
      <c r="I65" s="2" t="s">
        <v>17</v>
      </c>
      <c r="J65" s="4" t="n">
        <v>46204</v>
      </c>
    </row>
    <row r="66" customFormat="false" ht="15" hidden="false" customHeight="false" outlineLevel="0" collapsed="false">
      <c r="A66" s="2" t="s">
        <v>290</v>
      </c>
      <c r="B66" s="2" t="s">
        <v>291</v>
      </c>
      <c r="C66" s="2" t="s">
        <v>292</v>
      </c>
      <c r="D66" s="3" t="s">
        <v>293</v>
      </c>
      <c r="E66" s="2" t="s">
        <v>112</v>
      </c>
      <c r="F66" s="2" t="s">
        <v>15</v>
      </c>
      <c r="G66" s="2" t="n">
        <v>2028</v>
      </c>
      <c r="H66" s="2" t="s">
        <v>16</v>
      </c>
      <c r="I66" s="2" t="s">
        <v>17</v>
      </c>
      <c r="J66" s="4" t="n">
        <v>46293</v>
      </c>
    </row>
    <row r="67" customFormat="false" ht="15" hidden="false" customHeight="false" outlineLevel="0" collapsed="false">
      <c r="A67" s="2" t="s">
        <v>294</v>
      </c>
      <c r="B67" s="2" t="s">
        <v>190</v>
      </c>
      <c r="C67" s="2" t="s">
        <v>295</v>
      </c>
      <c r="D67" s="3" t="s">
        <v>296</v>
      </c>
      <c r="E67" s="2" t="s">
        <v>106</v>
      </c>
      <c r="F67" s="2" t="s">
        <v>85</v>
      </c>
      <c r="G67" s="2" t="n">
        <v>2028</v>
      </c>
      <c r="H67" s="2" t="s">
        <v>76</v>
      </c>
      <c r="I67" s="2" t="s">
        <v>17</v>
      </c>
      <c r="J67" s="4" t="n">
        <v>46286</v>
      </c>
    </row>
    <row r="68" customFormat="false" ht="15" hidden="false" customHeight="false" outlineLevel="0" collapsed="false">
      <c r="A68" s="2" t="s">
        <v>297</v>
      </c>
      <c r="B68" s="2" t="s">
        <v>298</v>
      </c>
      <c r="C68" s="2" t="s">
        <v>299</v>
      </c>
      <c r="D68" s="3" t="s">
        <v>300</v>
      </c>
      <c r="E68" s="2" t="s">
        <v>106</v>
      </c>
      <c r="F68" s="2" t="s">
        <v>41</v>
      </c>
      <c r="G68" s="2" t="n">
        <v>2027</v>
      </c>
      <c r="H68" s="2" t="s">
        <v>24</v>
      </c>
      <c r="I68" s="2" t="s">
        <v>17</v>
      </c>
      <c r="J68" s="4" t="n">
        <v>46253</v>
      </c>
    </row>
    <row r="69" customFormat="false" ht="15" hidden="false" customHeight="false" outlineLevel="0" collapsed="false">
      <c r="A69" s="2" t="s">
        <v>301</v>
      </c>
      <c r="B69" s="2" t="s">
        <v>302</v>
      </c>
      <c r="C69" s="2" t="s">
        <v>303</v>
      </c>
      <c r="D69" s="3" t="s">
        <v>304</v>
      </c>
      <c r="E69" s="2" t="s">
        <v>29</v>
      </c>
      <c r="F69" s="2" t="s">
        <v>85</v>
      </c>
      <c r="G69" s="2" t="n">
        <v>2026</v>
      </c>
      <c r="H69" s="2" t="s">
        <v>42</v>
      </c>
      <c r="I69" s="2" t="s">
        <v>17</v>
      </c>
      <c r="J69" s="4" t="n">
        <v>46279</v>
      </c>
    </row>
    <row r="70" customFormat="false" ht="15" hidden="false" customHeight="false" outlineLevel="0" collapsed="false">
      <c r="A70" s="2" t="s">
        <v>305</v>
      </c>
      <c r="B70" s="2" t="s">
        <v>306</v>
      </c>
      <c r="C70" s="2" t="s">
        <v>307</v>
      </c>
      <c r="D70" s="3" t="s">
        <v>308</v>
      </c>
      <c r="E70" s="2" t="s">
        <v>48</v>
      </c>
      <c r="F70" s="2" t="s">
        <v>85</v>
      </c>
      <c r="G70" s="2" t="n">
        <v>2026</v>
      </c>
      <c r="H70" s="2" t="s">
        <v>76</v>
      </c>
      <c r="I70" s="2" t="s">
        <v>17</v>
      </c>
      <c r="J70" s="4" t="n">
        <v>46256</v>
      </c>
    </row>
    <row r="71" customFormat="false" ht="15" hidden="false" customHeight="false" outlineLevel="0" collapsed="false">
      <c r="A71" s="2" t="s">
        <v>309</v>
      </c>
      <c r="B71" s="2" t="s">
        <v>310</v>
      </c>
      <c r="C71" s="2" t="s">
        <v>311</v>
      </c>
      <c r="D71" s="3" t="s">
        <v>312</v>
      </c>
      <c r="E71" s="2" t="s">
        <v>54</v>
      </c>
      <c r="F71" s="2" t="s">
        <v>59</v>
      </c>
      <c r="G71" s="2" t="n">
        <v>2026</v>
      </c>
      <c r="H71" s="2" t="s">
        <v>76</v>
      </c>
      <c r="I71" s="2" t="s">
        <v>36</v>
      </c>
      <c r="J71" s="4" t="n">
        <v>46246</v>
      </c>
    </row>
    <row r="72" customFormat="false" ht="15" hidden="false" customHeight="false" outlineLevel="0" collapsed="false">
      <c r="A72" s="2" t="s">
        <v>313</v>
      </c>
      <c r="B72" s="2" t="s">
        <v>314</v>
      </c>
      <c r="C72" s="2" t="s">
        <v>315</v>
      </c>
      <c r="D72" s="3" t="s">
        <v>316</v>
      </c>
      <c r="E72" s="2" t="s">
        <v>75</v>
      </c>
      <c r="F72" s="2" t="s">
        <v>23</v>
      </c>
      <c r="G72" s="2" t="n">
        <v>2027</v>
      </c>
      <c r="H72" s="2" t="s">
        <v>42</v>
      </c>
      <c r="I72" s="2" t="s">
        <v>36</v>
      </c>
      <c r="J72" s="4" t="n">
        <v>46237</v>
      </c>
    </row>
    <row r="73" customFormat="false" ht="15" hidden="false" customHeight="false" outlineLevel="0" collapsed="false">
      <c r="A73" s="2" t="s">
        <v>317</v>
      </c>
      <c r="B73" s="2" t="s">
        <v>287</v>
      </c>
      <c r="C73" s="2" t="s">
        <v>318</v>
      </c>
      <c r="D73" s="3" t="s">
        <v>319</v>
      </c>
      <c r="E73" s="2" t="s">
        <v>22</v>
      </c>
      <c r="F73" s="2" t="s">
        <v>64</v>
      </c>
      <c r="G73" s="2" t="n">
        <v>2025</v>
      </c>
      <c r="H73" s="2" t="s">
        <v>76</v>
      </c>
      <c r="I73" s="2" t="s">
        <v>17</v>
      </c>
      <c r="J73" s="4" t="n">
        <v>46208</v>
      </c>
    </row>
    <row r="74" customFormat="false" ht="15" hidden="false" customHeight="false" outlineLevel="0" collapsed="false">
      <c r="A74" s="2" t="s">
        <v>320</v>
      </c>
      <c r="B74" s="2" t="s">
        <v>321</v>
      </c>
      <c r="C74" s="2" t="s">
        <v>322</v>
      </c>
      <c r="D74" s="3" t="s">
        <v>323</v>
      </c>
      <c r="E74" s="2" t="s">
        <v>106</v>
      </c>
      <c r="F74" s="2" t="s">
        <v>35</v>
      </c>
      <c r="G74" s="2" t="n">
        <v>2026</v>
      </c>
      <c r="H74" s="2" t="s">
        <v>70</v>
      </c>
      <c r="I74" s="2" t="s">
        <v>43</v>
      </c>
      <c r="J74" s="4" t="n">
        <v>46292</v>
      </c>
    </row>
    <row r="75" customFormat="false" ht="15" hidden="false" customHeight="false" outlineLevel="0" collapsed="false">
      <c r="A75" s="2" t="s">
        <v>324</v>
      </c>
      <c r="B75" s="2" t="s">
        <v>325</v>
      </c>
      <c r="C75" s="2" t="s">
        <v>326</v>
      </c>
      <c r="D75" s="3" t="s">
        <v>327</v>
      </c>
      <c r="E75" s="2" t="s">
        <v>54</v>
      </c>
      <c r="F75" s="2" t="s">
        <v>41</v>
      </c>
      <c r="G75" s="2" t="n">
        <v>2025</v>
      </c>
      <c r="H75" s="2" t="s">
        <v>24</v>
      </c>
      <c r="I75" s="2" t="s">
        <v>43</v>
      </c>
      <c r="J75" s="4" t="n">
        <v>46214</v>
      </c>
    </row>
    <row r="76" customFormat="false" ht="15" hidden="false" customHeight="false" outlineLevel="0" collapsed="false">
      <c r="A76" s="2" t="s">
        <v>328</v>
      </c>
      <c r="B76" s="2" t="s">
        <v>329</v>
      </c>
      <c r="C76" s="2" t="s">
        <v>330</v>
      </c>
      <c r="D76" s="3" t="s">
        <v>331</v>
      </c>
      <c r="E76" s="2" t="s">
        <v>48</v>
      </c>
      <c r="F76" s="2" t="s">
        <v>23</v>
      </c>
      <c r="G76" s="2" t="n">
        <v>2027</v>
      </c>
      <c r="H76" s="2" t="s">
        <v>76</v>
      </c>
      <c r="I76" s="2" t="s">
        <v>43</v>
      </c>
      <c r="J76" s="4" t="n">
        <v>46224</v>
      </c>
    </row>
    <row r="77" customFormat="false" ht="15" hidden="false" customHeight="false" outlineLevel="0" collapsed="false">
      <c r="A77" s="2" t="s">
        <v>332</v>
      </c>
      <c r="B77" s="2" t="s">
        <v>333</v>
      </c>
      <c r="C77" s="2" t="s">
        <v>334</v>
      </c>
      <c r="D77" s="3" t="s">
        <v>335</v>
      </c>
      <c r="E77" s="2" t="s">
        <v>169</v>
      </c>
      <c r="F77" s="2" t="s">
        <v>64</v>
      </c>
      <c r="G77" s="2" t="n">
        <v>2027</v>
      </c>
      <c r="H77" s="2" t="s">
        <v>16</v>
      </c>
      <c r="I77" s="2" t="s">
        <v>36</v>
      </c>
      <c r="J77" s="4" t="n">
        <v>46265</v>
      </c>
    </row>
    <row r="78" customFormat="false" ht="15" hidden="false" customHeight="false" outlineLevel="0" collapsed="false">
      <c r="A78" s="2" t="s">
        <v>336</v>
      </c>
      <c r="B78" s="2" t="s">
        <v>337</v>
      </c>
      <c r="C78" s="2" t="s">
        <v>338</v>
      </c>
      <c r="D78" s="3" t="s">
        <v>339</v>
      </c>
      <c r="E78" s="2" t="s">
        <v>169</v>
      </c>
      <c r="F78" s="2" t="s">
        <v>85</v>
      </c>
      <c r="G78" s="2" t="n">
        <v>2026</v>
      </c>
      <c r="H78" s="2" t="s">
        <v>70</v>
      </c>
      <c r="I78" s="2" t="s">
        <v>43</v>
      </c>
      <c r="J78" s="4" t="n">
        <v>46276</v>
      </c>
    </row>
    <row r="79" customFormat="false" ht="15" hidden="false" customHeight="false" outlineLevel="0" collapsed="false">
      <c r="A79" s="2" t="s">
        <v>340</v>
      </c>
      <c r="B79" s="2" t="s">
        <v>341</v>
      </c>
      <c r="C79" s="2" t="s">
        <v>342</v>
      </c>
      <c r="D79" s="3" t="s">
        <v>343</v>
      </c>
      <c r="E79" s="2" t="s">
        <v>48</v>
      </c>
      <c r="F79" s="2" t="s">
        <v>59</v>
      </c>
      <c r="G79" s="2" t="n">
        <v>2027</v>
      </c>
      <c r="H79" s="2" t="s">
        <v>24</v>
      </c>
      <c r="I79" s="2" t="s">
        <v>43</v>
      </c>
      <c r="J79" s="4" t="n">
        <v>46283</v>
      </c>
    </row>
    <row r="80" customFormat="false" ht="15" hidden="false" customHeight="false" outlineLevel="0" collapsed="false">
      <c r="A80" s="2" t="s">
        <v>344</v>
      </c>
      <c r="B80" s="2" t="s">
        <v>345</v>
      </c>
      <c r="C80" s="2" t="s">
        <v>346</v>
      </c>
      <c r="D80" s="3" t="s">
        <v>347</v>
      </c>
      <c r="E80" s="2" t="s">
        <v>121</v>
      </c>
      <c r="F80" s="2" t="s">
        <v>35</v>
      </c>
      <c r="G80" s="2" t="n">
        <v>2026</v>
      </c>
      <c r="H80" s="2" t="s">
        <v>24</v>
      </c>
      <c r="I80" s="2" t="s">
        <v>36</v>
      </c>
      <c r="J80" s="4" t="n">
        <v>46220</v>
      </c>
    </row>
    <row r="81" customFormat="false" ht="15" hidden="false" customHeight="false" outlineLevel="0" collapsed="false">
      <c r="A81" s="2" t="s">
        <v>348</v>
      </c>
      <c r="B81" s="2" t="s">
        <v>349</v>
      </c>
      <c r="C81" s="2" t="s">
        <v>350</v>
      </c>
      <c r="D81" s="3" t="s">
        <v>351</v>
      </c>
      <c r="E81" s="2" t="s">
        <v>169</v>
      </c>
      <c r="F81" s="2" t="s">
        <v>64</v>
      </c>
      <c r="G81" s="2" t="n">
        <v>2027</v>
      </c>
      <c r="H81" s="2" t="s">
        <v>24</v>
      </c>
      <c r="I81" s="2" t="s">
        <v>17</v>
      </c>
      <c r="J81" s="4" t="n">
        <v>46238</v>
      </c>
    </row>
    <row r="82" customFormat="false" ht="15" hidden="false" customHeight="false" outlineLevel="0" collapsed="false">
      <c r="A82" s="2" t="s">
        <v>352</v>
      </c>
      <c r="B82" s="2" t="s">
        <v>353</v>
      </c>
      <c r="C82" s="2" t="s">
        <v>354</v>
      </c>
      <c r="D82" s="3" t="s">
        <v>355</v>
      </c>
      <c r="E82" s="2" t="s">
        <v>14</v>
      </c>
      <c r="F82" s="2" t="s">
        <v>23</v>
      </c>
      <c r="G82" s="2" t="n">
        <v>2027</v>
      </c>
      <c r="H82" s="2" t="s">
        <v>42</v>
      </c>
      <c r="I82" s="2" t="s">
        <v>36</v>
      </c>
      <c r="J82" s="4" t="n">
        <v>46232</v>
      </c>
    </row>
    <row r="83" customFormat="false" ht="15" hidden="false" customHeight="false" outlineLevel="0" collapsed="false">
      <c r="A83" s="2" t="s">
        <v>356</v>
      </c>
      <c r="B83" s="2" t="s">
        <v>357</v>
      </c>
      <c r="C83" s="2" t="s">
        <v>358</v>
      </c>
      <c r="D83" s="3" t="s">
        <v>359</v>
      </c>
      <c r="E83" s="2" t="s">
        <v>29</v>
      </c>
      <c r="F83" s="2" t="s">
        <v>15</v>
      </c>
      <c r="G83" s="2" t="n">
        <v>2026</v>
      </c>
      <c r="H83" s="2" t="s">
        <v>42</v>
      </c>
      <c r="I83" s="2" t="s">
        <v>17</v>
      </c>
      <c r="J83" s="4" t="n">
        <v>46285</v>
      </c>
    </row>
    <row r="84" customFormat="false" ht="15" hidden="false" customHeight="false" outlineLevel="0" collapsed="false">
      <c r="A84" s="2" t="s">
        <v>360</v>
      </c>
      <c r="B84" s="2" t="s">
        <v>361</v>
      </c>
      <c r="C84" s="2" t="s">
        <v>362</v>
      </c>
      <c r="D84" s="3" t="s">
        <v>363</v>
      </c>
      <c r="E84" s="2" t="s">
        <v>121</v>
      </c>
      <c r="F84" s="2" t="s">
        <v>23</v>
      </c>
      <c r="G84" s="2" t="n">
        <v>2028</v>
      </c>
      <c r="H84" s="2" t="s">
        <v>107</v>
      </c>
      <c r="I84" s="2" t="s">
        <v>36</v>
      </c>
      <c r="J84" s="4" t="n">
        <v>46242</v>
      </c>
    </row>
    <row r="85" customFormat="false" ht="15" hidden="false" customHeight="false" outlineLevel="0" collapsed="false">
      <c r="A85" s="2" t="s">
        <v>364</v>
      </c>
      <c r="B85" s="2" t="s">
        <v>365</v>
      </c>
      <c r="C85" s="2" t="s">
        <v>366</v>
      </c>
      <c r="D85" s="3" t="s">
        <v>367</v>
      </c>
      <c r="E85" s="2" t="s">
        <v>29</v>
      </c>
      <c r="F85" s="2" t="s">
        <v>35</v>
      </c>
      <c r="G85" s="2" t="n">
        <v>2028</v>
      </c>
      <c r="H85" s="2" t="s">
        <v>76</v>
      </c>
      <c r="I85" s="2" t="s">
        <v>17</v>
      </c>
      <c r="J85" s="4" t="n">
        <v>46223</v>
      </c>
    </row>
    <row r="86" customFormat="false" ht="15" hidden="false" customHeight="false" outlineLevel="0" collapsed="false">
      <c r="A86" s="2" t="s">
        <v>368</v>
      </c>
      <c r="B86" s="2" t="s">
        <v>369</v>
      </c>
      <c r="C86" s="2" t="s">
        <v>370</v>
      </c>
      <c r="D86" s="3" t="s">
        <v>371</v>
      </c>
      <c r="E86" s="2" t="s">
        <v>54</v>
      </c>
      <c r="F86" s="2" t="s">
        <v>59</v>
      </c>
      <c r="G86" s="2" t="n">
        <v>2026</v>
      </c>
      <c r="H86" s="2" t="s">
        <v>42</v>
      </c>
      <c r="I86" s="2" t="s">
        <v>36</v>
      </c>
      <c r="J86" s="4" t="n">
        <v>46251</v>
      </c>
    </row>
    <row r="87" customFormat="false" ht="15" hidden="false" customHeight="false" outlineLevel="0" collapsed="false">
      <c r="A87" s="2" t="s">
        <v>372</v>
      </c>
      <c r="B87" s="2" t="s">
        <v>373</v>
      </c>
      <c r="C87" s="2" t="s">
        <v>374</v>
      </c>
      <c r="D87" s="3" t="s">
        <v>375</v>
      </c>
      <c r="E87" s="2" t="s">
        <v>75</v>
      </c>
      <c r="F87" s="2" t="s">
        <v>35</v>
      </c>
      <c r="G87" s="2" t="n">
        <v>2026</v>
      </c>
      <c r="H87" s="2" t="s">
        <v>24</v>
      </c>
      <c r="I87" s="2" t="s">
        <v>17</v>
      </c>
      <c r="J87" s="4" t="n">
        <v>46246</v>
      </c>
    </row>
    <row r="88" customFormat="false" ht="15" hidden="false" customHeight="false" outlineLevel="0" collapsed="false">
      <c r="A88" s="2" t="s">
        <v>376</v>
      </c>
      <c r="B88" s="2" t="s">
        <v>377</v>
      </c>
      <c r="C88" s="2" t="s">
        <v>378</v>
      </c>
      <c r="D88" s="3" t="s">
        <v>379</v>
      </c>
      <c r="E88" s="2" t="s">
        <v>75</v>
      </c>
      <c r="F88" s="2" t="s">
        <v>41</v>
      </c>
      <c r="G88" s="2" t="n">
        <v>2026</v>
      </c>
      <c r="H88" s="2" t="s">
        <v>16</v>
      </c>
      <c r="I88" s="2" t="s">
        <v>36</v>
      </c>
      <c r="J88" s="4" t="n">
        <v>46280</v>
      </c>
    </row>
    <row r="89" customFormat="false" ht="15" hidden="false" customHeight="false" outlineLevel="0" collapsed="false">
      <c r="A89" s="2" t="s">
        <v>380</v>
      </c>
      <c r="B89" s="2" t="s">
        <v>381</v>
      </c>
      <c r="C89" s="2" t="s">
        <v>382</v>
      </c>
      <c r="D89" s="3" t="s">
        <v>383</v>
      </c>
      <c r="E89" s="2" t="s">
        <v>69</v>
      </c>
      <c r="F89" s="2" t="s">
        <v>23</v>
      </c>
      <c r="G89" s="2" t="n">
        <v>2025</v>
      </c>
      <c r="H89" s="2" t="s">
        <v>42</v>
      </c>
      <c r="I89" s="2" t="s">
        <v>17</v>
      </c>
      <c r="J89" s="4" t="n">
        <v>46249</v>
      </c>
    </row>
    <row r="90" customFormat="false" ht="15" hidden="false" customHeight="false" outlineLevel="0" collapsed="false">
      <c r="A90" s="2" t="s">
        <v>384</v>
      </c>
      <c r="B90" s="2" t="s">
        <v>385</v>
      </c>
      <c r="C90" s="2" t="s">
        <v>386</v>
      </c>
      <c r="D90" s="3" t="s">
        <v>387</v>
      </c>
      <c r="E90" s="2" t="s">
        <v>69</v>
      </c>
      <c r="F90" s="2" t="s">
        <v>85</v>
      </c>
      <c r="G90" s="2" t="n">
        <v>2027</v>
      </c>
      <c r="H90" s="2" t="s">
        <v>76</v>
      </c>
      <c r="I90" s="2" t="s">
        <v>36</v>
      </c>
      <c r="J90" s="4" t="n">
        <v>46250</v>
      </c>
    </row>
    <row r="91" customFormat="false" ht="15" hidden="false" customHeight="false" outlineLevel="0" collapsed="false">
      <c r="A91" s="2" t="s">
        <v>388</v>
      </c>
      <c r="B91" s="2" t="s">
        <v>389</v>
      </c>
      <c r="C91" s="2" t="s">
        <v>390</v>
      </c>
      <c r="D91" s="3" t="s">
        <v>391</v>
      </c>
      <c r="E91" s="2" t="s">
        <v>121</v>
      </c>
      <c r="F91" s="2" t="s">
        <v>59</v>
      </c>
      <c r="G91" s="2" t="n">
        <v>2026</v>
      </c>
      <c r="H91" s="2" t="s">
        <v>107</v>
      </c>
      <c r="I91" s="2" t="s">
        <v>36</v>
      </c>
      <c r="J91" s="4" t="n">
        <v>46255</v>
      </c>
    </row>
    <row r="92" customFormat="false" ht="15" hidden="false" customHeight="false" outlineLevel="0" collapsed="false">
      <c r="A92" s="2" t="s">
        <v>392</v>
      </c>
      <c r="B92" s="2" t="s">
        <v>393</v>
      </c>
      <c r="C92" s="2" t="s">
        <v>394</v>
      </c>
      <c r="D92" s="3" t="s">
        <v>395</v>
      </c>
      <c r="E92" s="2" t="s">
        <v>48</v>
      </c>
      <c r="F92" s="2" t="s">
        <v>85</v>
      </c>
      <c r="G92" s="2" t="n">
        <v>2026</v>
      </c>
      <c r="H92" s="2" t="s">
        <v>76</v>
      </c>
      <c r="I92" s="2" t="s">
        <v>43</v>
      </c>
      <c r="J92" s="4" t="n">
        <v>46271</v>
      </c>
    </row>
    <row r="93" customFormat="false" ht="15" hidden="false" customHeight="false" outlineLevel="0" collapsed="false">
      <c r="A93" s="2" t="s">
        <v>396</v>
      </c>
      <c r="B93" s="2" t="s">
        <v>397</v>
      </c>
      <c r="C93" s="2" t="s">
        <v>398</v>
      </c>
      <c r="D93" s="3" t="s">
        <v>399</v>
      </c>
      <c r="E93" s="2" t="s">
        <v>54</v>
      </c>
      <c r="F93" s="2" t="s">
        <v>59</v>
      </c>
      <c r="G93" s="2" t="n">
        <v>2025</v>
      </c>
      <c r="H93" s="2" t="s">
        <v>24</v>
      </c>
      <c r="I93" s="2" t="s">
        <v>17</v>
      </c>
      <c r="J93" s="4" t="n">
        <v>46262</v>
      </c>
    </row>
    <row r="94" customFormat="false" ht="15" hidden="false" customHeight="false" outlineLevel="0" collapsed="false">
      <c r="A94" s="2" t="s">
        <v>400</v>
      </c>
      <c r="B94" s="2" t="s">
        <v>401</v>
      </c>
      <c r="C94" s="2" t="s">
        <v>402</v>
      </c>
      <c r="D94" s="3" t="s">
        <v>403</v>
      </c>
      <c r="E94" s="2" t="s">
        <v>14</v>
      </c>
      <c r="F94" s="2" t="s">
        <v>23</v>
      </c>
      <c r="G94" s="2" t="n">
        <v>2027</v>
      </c>
      <c r="H94" s="2" t="s">
        <v>24</v>
      </c>
      <c r="I94" s="2" t="s">
        <v>36</v>
      </c>
      <c r="J94" s="4" t="n">
        <v>46251</v>
      </c>
    </row>
    <row r="95" customFormat="false" ht="15" hidden="false" customHeight="false" outlineLevel="0" collapsed="false">
      <c r="A95" s="2" t="s">
        <v>404</v>
      </c>
      <c r="B95" s="2" t="s">
        <v>405</v>
      </c>
      <c r="C95" s="2" t="s">
        <v>406</v>
      </c>
      <c r="D95" s="3" t="s">
        <v>407</v>
      </c>
      <c r="E95" s="2" t="s">
        <v>14</v>
      </c>
      <c r="F95" s="2" t="s">
        <v>41</v>
      </c>
      <c r="G95" s="2" t="n">
        <v>2027</v>
      </c>
      <c r="H95" s="2" t="s">
        <v>16</v>
      </c>
      <c r="I95" s="2" t="s">
        <v>43</v>
      </c>
      <c r="J95" s="4" t="n">
        <v>46210</v>
      </c>
    </row>
    <row r="96" customFormat="false" ht="15" hidden="false" customHeight="false" outlineLevel="0" collapsed="false">
      <c r="A96" s="2" t="s">
        <v>408</v>
      </c>
      <c r="B96" s="2" t="s">
        <v>409</v>
      </c>
      <c r="C96" s="2" t="s">
        <v>410</v>
      </c>
      <c r="D96" s="3" t="s">
        <v>411</v>
      </c>
      <c r="E96" s="2" t="s">
        <v>121</v>
      </c>
      <c r="F96" s="2" t="s">
        <v>41</v>
      </c>
      <c r="G96" s="2" t="n">
        <v>2027</v>
      </c>
      <c r="H96" s="2" t="s">
        <v>107</v>
      </c>
      <c r="I96" s="2" t="s">
        <v>43</v>
      </c>
      <c r="J96" s="4" t="n">
        <v>46275</v>
      </c>
    </row>
    <row r="97" customFormat="false" ht="15" hidden="false" customHeight="false" outlineLevel="0" collapsed="false">
      <c r="A97" s="2" t="s">
        <v>412</v>
      </c>
      <c r="B97" s="2" t="s">
        <v>413</v>
      </c>
      <c r="C97" s="2" t="s">
        <v>414</v>
      </c>
      <c r="D97" s="3" t="s">
        <v>415</v>
      </c>
      <c r="E97" s="2" t="s">
        <v>106</v>
      </c>
      <c r="F97" s="2" t="s">
        <v>23</v>
      </c>
      <c r="G97" s="2" t="n">
        <v>2027</v>
      </c>
      <c r="H97" s="2" t="s">
        <v>49</v>
      </c>
      <c r="I97" s="2" t="s">
        <v>43</v>
      </c>
      <c r="J97" s="4" t="n">
        <v>46222</v>
      </c>
    </row>
    <row r="98" customFormat="false" ht="15" hidden="false" customHeight="false" outlineLevel="0" collapsed="false">
      <c r="A98" s="2" t="s">
        <v>416</v>
      </c>
      <c r="B98" s="2" t="s">
        <v>417</v>
      </c>
      <c r="C98" s="2" t="s">
        <v>418</v>
      </c>
      <c r="D98" s="3" t="s">
        <v>419</v>
      </c>
      <c r="E98" s="2" t="s">
        <v>34</v>
      </c>
      <c r="F98" s="2" t="s">
        <v>59</v>
      </c>
      <c r="G98" s="2" t="n">
        <v>2025</v>
      </c>
      <c r="H98" s="2" t="s">
        <v>107</v>
      </c>
      <c r="I98" s="2" t="s">
        <v>43</v>
      </c>
      <c r="J98" s="4" t="n">
        <v>46276</v>
      </c>
    </row>
    <row r="99" customFormat="false" ht="15" hidden="false" customHeight="false" outlineLevel="0" collapsed="false">
      <c r="A99" s="2" t="s">
        <v>420</v>
      </c>
      <c r="B99" s="2" t="s">
        <v>421</v>
      </c>
      <c r="C99" s="2" t="s">
        <v>422</v>
      </c>
      <c r="D99" s="3" t="s">
        <v>423</v>
      </c>
      <c r="E99" s="2" t="s">
        <v>75</v>
      </c>
      <c r="F99" s="2" t="s">
        <v>64</v>
      </c>
      <c r="G99" s="2" t="n">
        <v>2027</v>
      </c>
      <c r="H99" s="2" t="s">
        <v>16</v>
      </c>
      <c r="I99" s="2" t="s">
        <v>17</v>
      </c>
      <c r="J99" s="4" t="n">
        <v>46260</v>
      </c>
    </row>
    <row r="100" customFormat="false" ht="15" hidden="false" customHeight="false" outlineLevel="0" collapsed="false">
      <c r="A100" s="2" t="s">
        <v>424</v>
      </c>
      <c r="B100" s="2" t="s">
        <v>425</v>
      </c>
      <c r="C100" s="2" t="s">
        <v>426</v>
      </c>
      <c r="D100" s="3" t="s">
        <v>427</v>
      </c>
      <c r="E100" s="2" t="s">
        <v>169</v>
      </c>
      <c r="F100" s="2" t="s">
        <v>41</v>
      </c>
      <c r="G100" s="2" t="n">
        <v>2025</v>
      </c>
      <c r="H100" s="2" t="s">
        <v>16</v>
      </c>
      <c r="I100" s="2" t="s">
        <v>43</v>
      </c>
      <c r="J100" s="4" t="n">
        <v>46204</v>
      </c>
    </row>
    <row r="101" customFormat="false" ht="15" hidden="false" customHeight="false" outlineLevel="0" collapsed="false">
      <c r="A101" s="2" t="s">
        <v>428</v>
      </c>
      <c r="B101" s="2" t="s">
        <v>325</v>
      </c>
      <c r="C101" s="2" t="s">
        <v>429</v>
      </c>
      <c r="D101" s="3" t="s">
        <v>430</v>
      </c>
      <c r="E101" s="2" t="s">
        <v>106</v>
      </c>
      <c r="F101" s="2" t="s">
        <v>85</v>
      </c>
      <c r="G101" s="2" t="n">
        <v>2025</v>
      </c>
      <c r="H101" s="2" t="s">
        <v>76</v>
      </c>
      <c r="I101" s="2" t="s">
        <v>17</v>
      </c>
      <c r="J101" s="4" t="n">
        <v>46252</v>
      </c>
    </row>
    <row r="102" customFormat="false" ht="15" hidden="false" customHeight="false" outlineLevel="0" collapsed="false">
      <c r="A102" s="2" t="s">
        <v>431</v>
      </c>
      <c r="B102" s="2" t="s">
        <v>432</v>
      </c>
      <c r="C102" s="2" t="s">
        <v>433</v>
      </c>
      <c r="D102" s="3" t="s">
        <v>434</v>
      </c>
      <c r="E102" s="2" t="s">
        <v>121</v>
      </c>
      <c r="F102" s="2" t="s">
        <v>85</v>
      </c>
      <c r="G102" s="2" t="n">
        <v>2028</v>
      </c>
      <c r="H102" s="2" t="s">
        <v>24</v>
      </c>
      <c r="I102" s="2" t="s">
        <v>36</v>
      </c>
      <c r="J102" s="4" t="n">
        <v>46244</v>
      </c>
    </row>
    <row r="103" customFormat="false" ht="15" hidden="false" customHeight="false" outlineLevel="0" collapsed="false">
      <c r="A103" s="2" t="s">
        <v>435</v>
      </c>
      <c r="B103" s="2" t="s">
        <v>436</v>
      </c>
      <c r="C103" s="2" t="s">
        <v>437</v>
      </c>
      <c r="D103" s="3" t="s">
        <v>438</v>
      </c>
      <c r="E103" s="2" t="s">
        <v>29</v>
      </c>
      <c r="F103" s="2" t="s">
        <v>35</v>
      </c>
      <c r="G103" s="2" t="n">
        <v>2027</v>
      </c>
      <c r="H103" s="2" t="s">
        <v>24</v>
      </c>
      <c r="I103" s="2" t="s">
        <v>17</v>
      </c>
      <c r="J103" s="4" t="n">
        <v>46217</v>
      </c>
    </row>
    <row r="104" customFormat="false" ht="15" hidden="false" customHeight="false" outlineLevel="0" collapsed="false">
      <c r="A104" s="2" t="s">
        <v>439</v>
      </c>
      <c r="B104" s="2" t="s">
        <v>440</v>
      </c>
      <c r="C104" s="2" t="s">
        <v>441</v>
      </c>
      <c r="D104" s="3" t="s">
        <v>442</v>
      </c>
      <c r="E104" s="2" t="s">
        <v>14</v>
      </c>
      <c r="F104" s="2" t="s">
        <v>35</v>
      </c>
      <c r="G104" s="2" t="n">
        <v>2027</v>
      </c>
      <c r="H104" s="2" t="s">
        <v>49</v>
      </c>
      <c r="I104" s="2" t="s">
        <v>17</v>
      </c>
      <c r="J104" s="4" t="n">
        <v>46218</v>
      </c>
    </row>
    <row r="105" customFormat="false" ht="15" hidden="false" customHeight="false" outlineLevel="0" collapsed="false">
      <c r="A105" s="2" t="s">
        <v>443</v>
      </c>
      <c r="B105" s="2" t="s">
        <v>444</v>
      </c>
      <c r="C105" s="2" t="s">
        <v>445</v>
      </c>
      <c r="D105" s="3" t="s">
        <v>446</v>
      </c>
      <c r="E105" s="2" t="s">
        <v>54</v>
      </c>
      <c r="F105" s="2" t="s">
        <v>85</v>
      </c>
      <c r="G105" s="2" t="n">
        <v>2028</v>
      </c>
      <c r="H105" s="2" t="s">
        <v>42</v>
      </c>
      <c r="I105" s="2" t="s">
        <v>36</v>
      </c>
      <c r="J105" s="4" t="n">
        <v>46287</v>
      </c>
    </row>
    <row r="106" customFormat="false" ht="15" hidden="false" customHeight="false" outlineLevel="0" collapsed="false">
      <c r="A106" s="2" t="s">
        <v>447</v>
      </c>
      <c r="B106" s="2" t="s">
        <v>448</v>
      </c>
      <c r="C106" s="2" t="s">
        <v>449</v>
      </c>
      <c r="D106" s="3" t="s">
        <v>450</v>
      </c>
      <c r="E106" s="2" t="s">
        <v>112</v>
      </c>
      <c r="F106" s="2" t="s">
        <v>41</v>
      </c>
      <c r="G106" s="2" t="n">
        <v>2025</v>
      </c>
      <c r="H106" s="2" t="s">
        <v>107</v>
      </c>
      <c r="I106" s="2" t="s">
        <v>43</v>
      </c>
      <c r="J106" s="4" t="n">
        <v>46244</v>
      </c>
    </row>
    <row r="107" customFormat="false" ht="15" hidden="false" customHeight="false" outlineLevel="0" collapsed="false">
      <c r="A107" s="2" t="s">
        <v>451</v>
      </c>
      <c r="B107" s="2" t="s">
        <v>452</v>
      </c>
      <c r="C107" s="2" t="s">
        <v>453</v>
      </c>
      <c r="D107" s="3" t="s">
        <v>454</v>
      </c>
      <c r="E107" s="2" t="s">
        <v>106</v>
      </c>
      <c r="F107" s="2" t="s">
        <v>23</v>
      </c>
      <c r="G107" s="2" t="n">
        <v>2025</v>
      </c>
      <c r="H107" s="2" t="s">
        <v>76</v>
      </c>
      <c r="I107" s="2" t="s">
        <v>36</v>
      </c>
      <c r="J107" s="4" t="n">
        <v>46251</v>
      </c>
    </row>
    <row r="108" customFormat="false" ht="15" hidden="false" customHeight="false" outlineLevel="0" collapsed="false">
      <c r="A108" s="2" t="s">
        <v>455</v>
      </c>
      <c r="B108" s="2" t="s">
        <v>456</v>
      </c>
      <c r="C108" s="2" t="s">
        <v>457</v>
      </c>
      <c r="D108" s="3" t="s">
        <v>458</v>
      </c>
      <c r="E108" s="2" t="s">
        <v>14</v>
      </c>
      <c r="F108" s="2" t="s">
        <v>15</v>
      </c>
      <c r="G108" s="2" t="n">
        <v>2026</v>
      </c>
      <c r="H108" s="2" t="s">
        <v>16</v>
      </c>
      <c r="I108" s="2" t="s">
        <v>17</v>
      </c>
      <c r="J108" s="4" t="n">
        <v>46264</v>
      </c>
    </row>
    <row r="109" customFormat="false" ht="15" hidden="false" customHeight="false" outlineLevel="0" collapsed="false">
      <c r="A109" s="2" t="s">
        <v>459</v>
      </c>
      <c r="B109" s="2" t="s">
        <v>460</v>
      </c>
      <c r="C109" s="2" t="s">
        <v>461</v>
      </c>
      <c r="D109" s="3" t="s">
        <v>462</v>
      </c>
      <c r="E109" s="2" t="s">
        <v>29</v>
      </c>
      <c r="F109" s="2" t="s">
        <v>64</v>
      </c>
      <c r="G109" s="2" t="n">
        <v>2025</v>
      </c>
      <c r="H109" s="2" t="s">
        <v>24</v>
      </c>
      <c r="I109" s="2" t="s">
        <v>36</v>
      </c>
      <c r="J109" s="4" t="n">
        <v>46270</v>
      </c>
    </row>
    <row r="110" customFormat="false" ht="15" hidden="false" customHeight="false" outlineLevel="0" collapsed="false">
      <c r="A110" s="2" t="s">
        <v>463</v>
      </c>
      <c r="B110" s="2" t="s">
        <v>464</v>
      </c>
      <c r="C110" s="2" t="s">
        <v>465</v>
      </c>
      <c r="D110" s="3" t="s">
        <v>466</v>
      </c>
      <c r="E110" s="2" t="s">
        <v>14</v>
      </c>
      <c r="F110" s="2" t="s">
        <v>15</v>
      </c>
      <c r="G110" s="2" t="n">
        <v>2026</v>
      </c>
      <c r="H110" s="2" t="s">
        <v>107</v>
      </c>
      <c r="I110" s="2" t="s">
        <v>43</v>
      </c>
      <c r="J110" s="4" t="n">
        <v>46216</v>
      </c>
    </row>
    <row r="111" customFormat="false" ht="15" hidden="false" customHeight="false" outlineLevel="0" collapsed="false">
      <c r="A111" s="2" t="s">
        <v>467</v>
      </c>
      <c r="B111" s="2" t="s">
        <v>468</v>
      </c>
      <c r="C111" s="2" t="s">
        <v>469</v>
      </c>
      <c r="D111" s="3" t="s">
        <v>470</v>
      </c>
      <c r="E111" s="2" t="s">
        <v>48</v>
      </c>
      <c r="F111" s="2" t="s">
        <v>64</v>
      </c>
      <c r="G111" s="2" t="n">
        <v>2028</v>
      </c>
      <c r="H111" s="2" t="s">
        <v>70</v>
      </c>
      <c r="I111" s="2" t="s">
        <v>43</v>
      </c>
      <c r="J111" s="4" t="n">
        <v>46214</v>
      </c>
    </row>
    <row r="112" customFormat="false" ht="15" hidden="false" customHeight="false" outlineLevel="0" collapsed="false">
      <c r="A112" s="2" t="s">
        <v>471</v>
      </c>
      <c r="B112" s="2" t="s">
        <v>472</v>
      </c>
      <c r="C112" s="2" t="s">
        <v>473</v>
      </c>
      <c r="D112" s="3" t="s">
        <v>474</v>
      </c>
      <c r="E112" s="2" t="s">
        <v>121</v>
      </c>
      <c r="F112" s="2" t="s">
        <v>59</v>
      </c>
      <c r="G112" s="2" t="n">
        <v>2027</v>
      </c>
      <c r="H112" s="2" t="s">
        <v>24</v>
      </c>
      <c r="I112" s="2" t="s">
        <v>17</v>
      </c>
      <c r="J112" s="4" t="n">
        <v>46227</v>
      </c>
    </row>
    <row r="113" customFormat="false" ht="15" hidden="false" customHeight="false" outlineLevel="0" collapsed="false">
      <c r="A113" s="2" t="s">
        <v>475</v>
      </c>
      <c r="B113" s="2" t="s">
        <v>476</v>
      </c>
      <c r="C113" s="2" t="s">
        <v>477</v>
      </c>
      <c r="D113" s="3" t="s">
        <v>478</v>
      </c>
      <c r="E113" s="2" t="s">
        <v>34</v>
      </c>
      <c r="F113" s="2" t="s">
        <v>85</v>
      </c>
      <c r="G113" s="2" t="n">
        <v>2026</v>
      </c>
      <c r="H113" s="2" t="s">
        <v>42</v>
      </c>
      <c r="I113" s="2" t="s">
        <v>43</v>
      </c>
      <c r="J113" s="4" t="n">
        <v>46283</v>
      </c>
    </row>
    <row r="114" customFormat="false" ht="15" hidden="false" customHeight="false" outlineLevel="0" collapsed="false">
      <c r="A114" s="2" t="s">
        <v>479</v>
      </c>
      <c r="B114" s="2" t="s">
        <v>397</v>
      </c>
      <c r="C114" s="2" t="s">
        <v>480</v>
      </c>
      <c r="D114" s="3" t="s">
        <v>481</v>
      </c>
      <c r="E114" s="2" t="s">
        <v>75</v>
      </c>
      <c r="F114" s="2" t="s">
        <v>35</v>
      </c>
      <c r="G114" s="2" t="n">
        <v>2027</v>
      </c>
      <c r="H114" s="2" t="s">
        <v>24</v>
      </c>
      <c r="I114" s="2" t="s">
        <v>43</v>
      </c>
      <c r="J114" s="4" t="n">
        <v>46290</v>
      </c>
    </row>
    <row r="115" customFormat="false" ht="15" hidden="false" customHeight="false" outlineLevel="0" collapsed="false">
      <c r="A115" s="2" t="s">
        <v>482</v>
      </c>
      <c r="B115" s="2" t="s">
        <v>154</v>
      </c>
      <c r="C115" s="2" t="s">
        <v>483</v>
      </c>
      <c r="D115" s="3" t="s">
        <v>484</v>
      </c>
      <c r="E115" s="2" t="s">
        <v>34</v>
      </c>
      <c r="F115" s="2" t="s">
        <v>35</v>
      </c>
      <c r="G115" s="2" t="n">
        <v>2027</v>
      </c>
      <c r="H115" s="2" t="s">
        <v>16</v>
      </c>
      <c r="I115" s="2" t="s">
        <v>36</v>
      </c>
      <c r="J115" s="4" t="n">
        <v>46277</v>
      </c>
    </row>
    <row r="116" customFormat="false" ht="15" hidden="false" customHeight="false" outlineLevel="0" collapsed="false">
      <c r="A116" s="2" t="s">
        <v>485</v>
      </c>
      <c r="B116" s="2" t="s">
        <v>238</v>
      </c>
      <c r="C116" s="2" t="s">
        <v>486</v>
      </c>
      <c r="D116" s="3" t="s">
        <v>487</v>
      </c>
      <c r="E116" s="2" t="s">
        <v>169</v>
      </c>
      <c r="F116" s="2" t="s">
        <v>59</v>
      </c>
      <c r="G116" s="2" t="n">
        <v>2026</v>
      </c>
      <c r="H116" s="2" t="s">
        <v>107</v>
      </c>
      <c r="I116" s="2" t="s">
        <v>43</v>
      </c>
      <c r="J116" s="4" t="n">
        <v>46274</v>
      </c>
    </row>
    <row r="117" customFormat="false" ht="15" hidden="false" customHeight="false" outlineLevel="0" collapsed="false">
      <c r="A117" s="2" t="s">
        <v>488</v>
      </c>
      <c r="B117" s="2" t="s">
        <v>489</v>
      </c>
      <c r="C117" s="2" t="s">
        <v>490</v>
      </c>
      <c r="D117" s="3" t="s">
        <v>491</v>
      </c>
      <c r="E117" s="2" t="s">
        <v>112</v>
      </c>
      <c r="F117" s="2" t="s">
        <v>23</v>
      </c>
      <c r="G117" s="2" t="n">
        <v>2027</v>
      </c>
      <c r="H117" s="2" t="s">
        <v>49</v>
      </c>
      <c r="I117" s="2" t="s">
        <v>43</v>
      </c>
      <c r="J117" s="4" t="n">
        <v>46215</v>
      </c>
    </row>
    <row r="118" customFormat="false" ht="15" hidden="false" customHeight="false" outlineLevel="0" collapsed="false">
      <c r="A118" s="2" t="s">
        <v>492</v>
      </c>
      <c r="B118" s="2" t="s">
        <v>493</v>
      </c>
      <c r="C118" s="2" t="s">
        <v>494</v>
      </c>
      <c r="D118" s="3" t="s">
        <v>495</v>
      </c>
      <c r="E118" s="2" t="s">
        <v>169</v>
      </c>
      <c r="F118" s="2" t="s">
        <v>85</v>
      </c>
      <c r="G118" s="2" t="n">
        <v>2028</v>
      </c>
      <c r="H118" s="2" t="s">
        <v>42</v>
      </c>
      <c r="I118" s="2" t="s">
        <v>17</v>
      </c>
      <c r="J118" s="4" t="n">
        <v>46207</v>
      </c>
    </row>
    <row r="119" customFormat="false" ht="15" hidden="false" customHeight="false" outlineLevel="0" collapsed="false">
      <c r="A119" s="2" t="s">
        <v>496</v>
      </c>
      <c r="B119" s="2" t="s">
        <v>497</v>
      </c>
      <c r="C119" s="2" t="s">
        <v>498</v>
      </c>
      <c r="D119" s="3" t="s">
        <v>499</v>
      </c>
      <c r="E119" s="2" t="s">
        <v>75</v>
      </c>
      <c r="F119" s="2" t="s">
        <v>64</v>
      </c>
      <c r="G119" s="2" t="n">
        <v>2028</v>
      </c>
      <c r="H119" s="2" t="s">
        <v>16</v>
      </c>
      <c r="I119" s="2" t="s">
        <v>43</v>
      </c>
      <c r="J119" s="4" t="n">
        <v>46204</v>
      </c>
    </row>
    <row r="120" customFormat="false" ht="15" hidden="false" customHeight="false" outlineLevel="0" collapsed="false">
      <c r="A120" s="2" t="s">
        <v>500</v>
      </c>
      <c r="B120" s="2" t="s">
        <v>501</v>
      </c>
      <c r="C120" s="2" t="s">
        <v>502</v>
      </c>
      <c r="D120" s="3" t="s">
        <v>503</v>
      </c>
      <c r="E120" s="2" t="s">
        <v>54</v>
      </c>
      <c r="F120" s="2" t="s">
        <v>15</v>
      </c>
      <c r="G120" s="2" t="n">
        <v>2025</v>
      </c>
      <c r="H120" s="2" t="s">
        <v>42</v>
      </c>
      <c r="I120" s="2" t="s">
        <v>36</v>
      </c>
      <c r="J120" s="4" t="n">
        <v>46210</v>
      </c>
    </row>
    <row r="121" customFormat="false" ht="15" hidden="false" customHeight="false" outlineLevel="0" collapsed="false">
      <c r="A121" s="2" t="s">
        <v>504</v>
      </c>
      <c r="B121" s="2" t="s">
        <v>505</v>
      </c>
      <c r="C121" s="2" t="s">
        <v>506</v>
      </c>
      <c r="D121" s="3" t="s">
        <v>507</v>
      </c>
      <c r="E121" s="2" t="s">
        <v>29</v>
      </c>
      <c r="F121" s="2" t="s">
        <v>59</v>
      </c>
      <c r="G121" s="2" t="n">
        <v>2025</v>
      </c>
      <c r="H121" s="2" t="s">
        <v>76</v>
      </c>
      <c r="I121" s="2" t="s">
        <v>43</v>
      </c>
      <c r="J121" s="4" t="n">
        <v>46241</v>
      </c>
    </row>
    <row r="122" customFormat="false" ht="15" hidden="false" customHeight="false" outlineLevel="0" collapsed="false">
      <c r="A122" s="2" t="s">
        <v>508</v>
      </c>
      <c r="B122" s="2" t="s">
        <v>509</v>
      </c>
      <c r="C122" s="2" t="s">
        <v>510</v>
      </c>
      <c r="D122" s="3" t="s">
        <v>511</v>
      </c>
      <c r="E122" s="2" t="s">
        <v>48</v>
      </c>
      <c r="F122" s="2" t="s">
        <v>59</v>
      </c>
      <c r="G122" s="2" t="n">
        <v>2027</v>
      </c>
      <c r="H122" s="2" t="s">
        <v>49</v>
      </c>
      <c r="I122" s="2" t="s">
        <v>17</v>
      </c>
      <c r="J122" s="4" t="n">
        <v>46251</v>
      </c>
    </row>
    <row r="123" customFormat="false" ht="15" hidden="false" customHeight="false" outlineLevel="0" collapsed="false">
      <c r="A123" s="2" t="s">
        <v>512</v>
      </c>
      <c r="B123" s="2" t="s">
        <v>513</v>
      </c>
      <c r="C123" s="2" t="s">
        <v>514</v>
      </c>
      <c r="D123" s="3" t="s">
        <v>515</v>
      </c>
      <c r="E123" s="2" t="s">
        <v>48</v>
      </c>
      <c r="F123" s="2" t="s">
        <v>35</v>
      </c>
      <c r="G123" s="2" t="n">
        <v>2026</v>
      </c>
      <c r="H123" s="2" t="s">
        <v>16</v>
      </c>
      <c r="I123" s="2" t="s">
        <v>36</v>
      </c>
      <c r="J123" s="4" t="n">
        <v>46286</v>
      </c>
    </row>
    <row r="124" customFormat="false" ht="15" hidden="false" customHeight="false" outlineLevel="0" collapsed="false">
      <c r="A124" s="2" t="s">
        <v>516</v>
      </c>
      <c r="B124" s="2" t="s">
        <v>517</v>
      </c>
      <c r="C124" s="2" t="s">
        <v>518</v>
      </c>
      <c r="D124" s="3" t="s">
        <v>519</v>
      </c>
      <c r="E124" s="2" t="s">
        <v>169</v>
      </c>
      <c r="F124" s="2" t="s">
        <v>15</v>
      </c>
      <c r="G124" s="2" t="n">
        <v>2028</v>
      </c>
      <c r="H124" s="2" t="s">
        <v>24</v>
      </c>
      <c r="I124" s="2" t="s">
        <v>36</v>
      </c>
      <c r="J124" s="4" t="n">
        <v>46229</v>
      </c>
    </row>
    <row r="125" customFormat="false" ht="15" hidden="false" customHeight="false" outlineLevel="0" collapsed="false">
      <c r="A125" s="2" t="s">
        <v>520</v>
      </c>
      <c r="B125" s="2" t="s">
        <v>337</v>
      </c>
      <c r="C125" s="2" t="s">
        <v>521</v>
      </c>
      <c r="D125" s="3" t="s">
        <v>522</v>
      </c>
      <c r="E125" s="2" t="s">
        <v>29</v>
      </c>
      <c r="F125" s="2" t="s">
        <v>41</v>
      </c>
      <c r="G125" s="2" t="n">
        <v>2025</v>
      </c>
      <c r="H125" s="2" t="s">
        <v>24</v>
      </c>
      <c r="I125" s="2" t="s">
        <v>43</v>
      </c>
      <c r="J125" s="4" t="n">
        <v>46286</v>
      </c>
    </row>
    <row r="126" customFormat="false" ht="15" hidden="false" customHeight="false" outlineLevel="0" collapsed="false">
      <c r="A126" s="2" t="s">
        <v>523</v>
      </c>
      <c r="B126" s="2" t="s">
        <v>147</v>
      </c>
      <c r="C126" s="2" t="s">
        <v>524</v>
      </c>
      <c r="D126" s="3" t="s">
        <v>525</v>
      </c>
      <c r="E126" s="2" t="s">
        <v>14</v>
      </c>
      <c r="F126" s="2" t="s">
        <v>64</v>
      </c>
      <c r="G126" s="2" t="n">
        <v>2028</v>
      </c>
      <c r="H126" s="2" t="s">
        <v>16</v>
      </c>
      <c r="I126" s="2" t="s">
        <v>43</v>
      </c>
      <c r="J126" s="4" t="n">
        <v>46260</v>
      </c>
    </row>
    <row r="127" customFormat="false" ht="15" hidden="false" customHeight="false" outlineLevel="0" collapsed="false">
      <c r="A127" s="2" t="s">
        <v>526</v>
      </c>
      <c r="B127" s="2" t="s">
        <v>253</v>
      </c>
      <c r="C127" s="2" t="s">
        <v>527</v>
      </c>
      <c r="D127" s="3" t="s">
        <v>528</v>
      </c>
      <c r="E127" s="2" t="s">
        <v>54</v>
      </c>
      <c r="F127" s="2" t="s">
        <v>15</v>
      </c>
      <c r="G127" s="2" t="n">
        <v>2028</v>
      </c>
      <c r="H127" s="2" t="s">
        <v>49</v>
      </c>
      <c r="I127" s="2" t="s">
        <v>36</v>
      </c>
      <c r="J127" s="4" t="n">
        <v>46245</v>
      </c>
    </row>
    <row r="128" customFormat="false" ht="15" hidden="false" customHeight="false" outlineLevel="0" collapsed="false">
      <c r="A128" s="2" t="s">
        <v>529</v>
      </c>
      <c r="B128" s="2" t="s">
        <v>530</v>
      </c>
      <c r="C128" s="2" t="s">
        <v>531</v>
      </c>
      <c r="D128" s="3" t="s">
        <v>532</v>
      </c>
      <c r="E128" s="2" t="s">
        <v>48</v>
      </c>
      <c r="F128" s="2" t="s">
        <v>64</v>
      </c>
      <c r="G128" s="2" t="n">
        <v>2028</v>
      </c>
      <c r="H128" s="2" t="s">
        <v>107</v>
      </c>
      <c r="I128" s="2" t="s">
        <v>36</v>
      </c>
      <c r="J128" s="4" t="n">
        <v>46209</v>
      </c>
    </row>
    <row r="129" customFormat="false" ht="15" hidden="false" customHeight="false" outlineLevel="0" collapsed="false">
      <c r="A129" s="2" t="s">
        <v>533</v>
      </c>
      <c r="B129" s="2" t="s">
        <v>534</v>
      </c>
      <c r="C129" s="2" t="s">
        <v>535</v>
      </c>
      <c r="D129" s="3" t="s">
        <v>536</v>
      </c>
      <c r="E129" s="2" t="s">
        <v>34</v>
      </c>
      <c r="F129" s="2" t="s">
        <v>35</v>
      </c>
      <c r="G129" s="2" t="n">
        <v>2028</v>
      </c>
      <c r="H129" s="2" t="s">
        <v>107</v>
      </c>
      <c r="I129" s="2" t="s">
        <v>43</v>
      </c>
      <c r="J129" s="4" t="n">
        <v>46281</v>
      </c>
    </row>
    <row r="130" customFormat="false" ht="15" hidden="false" customHeight="false" outlineLevel="0" collapsed="false">
      <c r="A130" s="2" t="s">
        <v>537</v>
      </c>
      <c r="B130" s="2" t="s">
        <v>538</v>
      </c>
      <c r="C130" s="2" t="s">
        <v>539</v>
      </c>
      <c r="D130" s="3" t="s">
        <v>540</v>
      </c>
      <c r="E130" s="2" t="s">
        <v>112</v>
      </c>
      <c r="F130" s="2" t="s">
        <v>64</v>
      </c>
      <c r="G130" s="2" t="n">
        <v>2026</v>
      </c>
      <c r="H130" s="2" t="s">
        <v>76</v>
      </c>
      <c r="I130" s="2" t="s">
        <v>36</v>
      </c>
      <c r="J130" s="4" t="n">
        <v>46277</v>
      </c>
    </row>
    <row r="131" customFormat="false" ht="15" hidden="false" customHeight="false" outlineLevel="0" collapsed="false">
      <c r="A131" s="2" t="s">
        <v>541</v>
      </c>
      <c r="B131" s="2" t="s">
        <v>542</v>
      </c>
      <c r="C131" s="2" t="s">
        <v>543</v>
      </c>
      <c r="D131" s="3" t="s">
        <v>544</v>
      </c>
      <c r="E131" s="2" t="s">
        <v>54</v>
      </c>
      <c r="F131" s="2" t="s">
        <v>35</v>
      </c>
      <c r="G131" s="2" t="n">
        <v>2025</v>
      </c>
      <c r="H131" s="2" t="s">
        <v>49</v>
      </c>
      <c r="I131" s="2" t="s">
        <v>17</v>
      </c>
      <c r="J131" s="4" t="n">
        <v>46219</v>
      </c>
    </row>
    <row r="132" customFormat="false" ht="15" hidden="false" customHeight="false" outlineLevel="0" collapsed="false">
      <c r="A132" s="2" t="s">
        <v>545</v>
      </c>
      <c r="B132" s="2" t="s">
        <v>546</v>
      </c>
      <c r="C132" s="2" t="s">
        <v>547</v>
      </c>
      <c r="D132" s="3" t="s">
        <v>548</v>
      </c>
      <c r="E132" s="2" t="s">
        <v>48</v>
      </c>
      <c r="F132" s="2" t="s">
        <v>41</v>
      </c>
      <c r="G132" s="2" t="n">
        <v>2025</v>
      </c>
      <c r="H132" s="2" t="s">
        <v>70</v>
      </c>
      <c r="I132" s="2" t="s">
        <v>36</v>
      </c>
      <c r="J132" s="4" t="n">
        <v>46260</v>
      </c>
    </row>
    <row r="133" customFormat="false" ht="15" hidden="false" customHeight="false" outlineLevel="0" collapsed="false">
      <c r="A133" s="2" t="s">
        <v>549</v>
      </c>
      <c r="B133" s="2" t="s">
        <v>550</v>
      </c>
      <c r="C133" s="2" t="s">
        <v>551</v>
      </c>
      <c r="D133" s="3" t="s">
        <v>552</v>
      </c>
      <c r="E133" s="2" t="s">
        <v>121</v>
      </c>
      <c r="F133" s="2" t="s">
        <v>35</v>
      </c>
      <c r="G133" s="2" t="n">
        <v>2028</v>
      </c>
      <c r="H133" s="2" t="s">
        <v>16</v>
      </c>
      <c r="I133" s="2" t="s">
        <v>43</v>
      </c>
      <c r="J133" s="4" t="n">
        <v>46224</v>
      </c>
    </row>
    <row r="134" customFormat="false" ht="15" hidden="false" customHeight="false" outlineLevel="0" collapsed="false">
      <c r="A134" s="2" t="s">
        <v>553</v>
      </c>
      <c r="B134" s="2" t="s">
        <v>385</v>
      </c>
      <c r="C134" s="2" t="s">
        <v>554</v>
      </c>
      <c r="D134" s="3" t="s">
        <v>555</v>
      </c>
      <c r="E134" s="2" t="s">
        <v>69</v>
      </c>
      <c r="F134" s="2" t="s">
        <v>23</v>
      </c>
      <c r="G134" s="2" t="n">
        <v>2028</v>
      </c>
      <c r="H134" s="2" t="s">
        <v>24</v>
      </c>
      <c r="I134" s="2" t="s">
        <v>43</v>
      </c>
      <c r="J134" s="4" t="n">
        <v>46274</v>
      </c>
    </row>
    <row r="135" customFormat="false" ht="15" hidden="false" customHeight="false" outlineLevel="0" collapsed="false">
      <c r="A135" s="2" t="s">
        <v>556</v>
      </c>
      <c r="B135" s="2" t="s">
        <v>557</v>
      </c>
      <c r="C135" s="2" t="s">
        <v>558</v>
      </c>
      <c r="D135" s="3" t="s">
        <v>559</v>
      </c>
      <c r="E135" s="2" t="s">
        <v>75</v>
      </c>
      <c r="F135" s="2" t="s">
        <v>64</v>
      </c>
      <c r="G135" s="2" t="n">
        <v>2026</v>
      </c>
      <c r="H135" s="2" t="s">
        <v>24</v>
      </c>
      <c r="I135" s="2" t="s">
        <v>17</v>
      </c>
      <c r="J135" s="4" t="n">
        <v>46286</v>
      </c>
    </row>
    <row r="136" customFormat="false" ht="15" hidden="false" customHeight="false" outlineLevel="0" collapsed="false">
      <c r="A136" s="2" t="s">
        <v>560</v>
      </c>
      <c r="B136" s="2" t="s">
        <v>561</v>
      </c>
      <c r="C136" s="2" t="s">
        <v>562</v>
      </c>
      <c r="D136" s="3" t="s">
        <v>563</v>
      </c>
      <c r="E136" s="2" t="s">
        <v>69</v>
      </c>
      <c r="F136" s="2" t="s">
        <v>35</v>
      </c>
      <c r="G136" s="2" t="n">
        <v>2027</v>
      </c>
      <c r="H136" s="2" t="s">
        <v>70</v>
      </c>
      <c r="I136" s="2" t="s">
        <v>43</v>
      </c>
      <c r="J136" s="4" t="n">
        <v>46211</v>
      </c>
    </row>
    <row r="137" customFormat="false" ht="15" hidden="false" customHeight="false" outlineLevel="0" collapsed="false">
      <c r="A137" s="2" t="s">
        <v>564</v>
      </c>
      <c r="B137" s="2" t="s">
        <v>565</v>
      </c>
      <c r="C137" s="2" t="s">
        <v>566</v>
      </c>
      <c r="D137" s="3" t="s">
        <v>567</v>
      </c>
      <c r="E137" s="2" t="s">
        <v>34</v>
      </c>
      <c r="F137" s="2" t="s">
        <v>35</v>
      </c>
      <c r="G137" s="2" t="n">
        <v>2026</v>
      </c>
      <c r="H137" s="2" t="s">
        <v>42</v>
      </c>
      <c r="I137" s="2" t="s">
        <v>36</v>
      </c>
      <c r="J137" s="4" t="n">
        <v>46285</v>
      </c>
    </row>
    <row r="138" customFormat="false" ht="15" hidden="false" customHeight="false" outlineLevel="0" collapsed="false">
      <c r="A138" s="2" t="s">
        <v>568</v>
      </c>
      <c r="B138" s="2" t="s">
        <v>186</v>
      </c>
      <c r="C138" s="2" t="s">
        <v>569</v>
      </c>
      <c r="D138" s="3" t="s">
        <v>570</v>
      </c>
      <c r="E138" s="2" t="s">
        <v>48</v>
      </c>
      <c r="F138" s="2" t="s">
        <v>85</v>
      </c>
      <c r="G138" s="2" t="n">
        <v>2027</v>
      </c>
      <c r="H138" s="2" t="s">
        <v>42</v>
      </c>
      <c r="I138" s="2" t="s">
        <v>17</v>
      </c>
      <c r="J138" s="4" t="n">
        <v>46276</v>
      </c>
    </row>
    <row r="139" customFormat="false" ht="15" hidden="false" customHeight="false" outlineLevel="0" collapsed="false">
      <c r="A139" s="2" t="s">
        <v>571</v>
      </c>
      <c r="B139" s="2" t="s">
        <v>45</v>
      </c>
      <c r="C139" s="2" t="s">
        <v>572</v>
      </c>
      <c r="D139" s="3" t="s">
        <v>573</v>
      </c>
      <c r="E139" s="2" t="s">
        <v>54</v>
      </c>
      <c r="F139" s="2" t="s">
        <v>59</v>
      </c>
      <c r="G139" s="2" t="n">
        <v>2025</v>
      </c>
      <c r="H139" s="2" t="s">
        <v>49</v>
      </c>
      <c r="I139" s="2" t="s">
        <v>43</v>
      </c>
      <c r="J139" s="4" t="n">
        <v>46207</v>
      </c>
    </row>
    <row r="140" customFormat="false" ht="15" hidden="false" customHeight="false" outlineLevel="0" collapsed="false">
      <c r="A140" s="2" t="s">
        <v>574</v>
      </c>
      <c r="B140" s="2" t="s">
        <v>575</v>
      </c>
      <c r="C140" s="2" t="s">
        <v>576</v>
      </c>
      <c r="D140" s="3" t="s">
        <v>577</v>
      </c>
      <c r="E140" s="2" t="s">
        <v>106</v>
      </c>
      <c r="F140" s="2" t="s">
        <v>35</v>
      </c>
      <c r="G140" s="2" t="n">
        <v>2027</v>
      </c>
      <c r="H140" s="2" t="s">
        <v>70</v>
      </c>
      <c r="I140" s="2" t="s">
        <v>36</v>
      </c>
      <c r="J140" s="4" t="n">
        <v>46230</v>
      </c>
    </row>
    <row r="141" customFormat="false" ht="15" hidden="false" customHeight="false" outlineLevel="0" collapsed="false">
      <c r="A141" s="2" t="s">
        <v>578</v>
      </c>
      <c r="B141" s="2" t="s">
        <v>579</v>
      </c>
      <c r="C141" s="2" t="s">
        <v>580</v>
      </c>
      <c r="D141" s="3" t="s">
        <v>581</v>
      </c>
      <c r="E141" s="2" t="s">
        <v>112</v>
      </c>
      <c r="F141" s="2" t="s">
        <v>41</v>
      </c>
      <c r="G141" s="2" t="n">
        <v>2028</v>
      </c>
      <c r="H141" s="2" t="s">
        <v>24</v>
      </c>
      <c r="I141" s="2" t="s">
        <v>36</v>
      </c>
      <c r="J141" s="4" t="n">
        <v>46263</v>
      </c>
    </row>
    <row r="142" customFormat="false" ht="15" hidden="false" customHeight="false" outlineLevel="0" collapsed="false">
      <c r="A142" s="2" t="s">
        <v>582</v>
      </c>
      <c r="B142" s="2" t="s">
        <v>306</v>
      </c>
      <c r="C142" s="2" t="s">
        <v>583</v>
      </c>
      <c r="D142" s="3" t="s">
        <v>584</v>
      </c>
      <c r="E142" s="2" t="s">
        <v>54</v>
      </c>
      <c r="F142" s="2" t="s">
        <v>23</v>
      </c>
      <c r="G142" s="2" t="n">
        <v>2027</v>
      </c>
      <c r="H142" s="2" t="s">
        <v>76</v>
      </c>
      <c r="I142" s="2" t="s">
        <v>17</v>
      </c>
      <c r="J142" s="4" t="n">
        <v>46224</v>
      </c>
    </row>
    <row r="143" customFormat="false" ht="15" hidden="false" customHeight="false" outlineLevel="0" collapsed="false">
      <c r="A143" s="2" t="s">
        <v>585</v>
      </c>
      <c r="B143" s="2" t="s">
        <v>586</v>
      </c>
      <c r="C143" s="2" t="s">
        <v>587</v>
      </c>
      <c r="D143" s="3" t="s">
        <v>588</v>
      </c>
      <c r="E143" s="2" t="s">
        <v>34</v>
      </c>
      <c r="F143" s="2" t="s">
        <v>85</v>
      </c>
      <c r="G143" s="2" t="n">
        <v>2028</v>
      </c>
      <c r="H143" s="2" t="s">
        <v>107</v>
      </c>
      <c r="I143" s="2" t="s">
        <v>36</v>
      </c>
      <c r="J143" s="4" t="n">
        <v>46262</v>
      </c>
    </row>
    <row r="144" customFormat="false" ht="15" hidden="false" customHeight="false" outlineLevel="0" collapsed="false">
      <c r="A144" s="2" t="s">
        <v>589</v>
      </c>
      <c r="B144" s="2" t="s">
        <v>590</v>
      </c>
      <c r="C144" s="2" t="s">
        <v>591</v>
      </c>
      <c r="D144" s="3" t="s">
        <v>592</v>
      </c>
      <c r="E144" s="2" t="s">
        <v>112</v>
      </c>
      <c r="F144" s="2" t="s">
        <v>23</v>
      </c>
      <c r="G144" s="2" t="n">
        <v>2025</v>
      </c>
      <c r="H144" s="2" t="s">
        <v>70</v>
      </c>
      <c r="I144" s="2" t="s">
        <v>36</v>
      </c>
      <c r="J144" s="4" t="n">
        <v>46259</v>
      </c>
    </row>
    <row r="145" customFormat="false" ht="15" hidden="false" customHeight="false" outlineLevel="0" collapsed="false">
      <c r="A145" s="2" t="s">
        <v>593</v>
      </c>
      <c r="B145" s="2" t="s">
        <v>594</v>
      </c>
      <c r="C145" s="2" t="s">
        <v>595</v>
      </c>
      <c r="D145" s="3" t="s">
        <v>596</v>
      </c>
      <c r="E145" s="2" t="s">
        <v>34</v>
      </c>
      <c r="F145" s="2" t="s">
        <v>64</v>
      </c>
      <c r="G145" s="2" t="n">
        <v>2025</v>
      </c>
      <c r="H145" s="2" t="s">
        <v>49</v>
      </c>
      <c r="I145" s="2" t="s">
        <v>17</v>
      </c>
      <c r="J145" s="4" t="n">
        <v>46240</v>
      </c>
    </row>
    <row r="146" customFormat="false" ht="15" hidden="false" customHeight="false" outlineLevel="0" collapsed="false">
      <c r="A146" s="2" t="s">
        <v>597</v>
      </c>
      <c r="B146" s="2" t="s">
        <v>598</v>
      </c>
      <c r="C146" s="2" t="s">
        <v>599</v>
      </c>
      <c r="D146" s="3" t="s">
        <v>600</v>
      </c>
      <c r="E146" s="2" t="s">
        <v>121</v>
      </c>
      <c r="F146" s="2" t="s">
        <v>64</v>
      </c>
      <c r="G146" s="2" t="n">
        <v>2027</v>
      </c>
      <c r="H146" s="2" t="s">
        <v>24</v>
      </c>
      <c r="I146" s="2" t="s">
        <v>43</v>
      </c>
      <c r="J146" s="4" t="n">
        <v>46247</v>
      </c>
    </row>
    <row r="147" customFormat="false" ht="15" hidden="false" customHeight="false" outlineLevel="0" collapsed="false">
      <c r="A147" s="2" t="s">
        <v>601</v>
      </c>
      <c r="B147" s="2" t="s">
        <v>468</v>
      </c>
      <c r="C147" s="2" t="s">
        <v>602</v>
      </c>
      <c r="D147" s="3" t="s">
        <v>603</v>
      </c>
      <c r="E147" s="2" t="s">
        <v>169</v>
      </c>
      <c r="F147" s="2" t="s">
        <v>15</v>
      </c>
      <c r="G147" s="2" t="n">
        <v>2027</v>
      </c>
      <c r="H147" s="2" t="s">
        <v>70</v>
      </c>
      <c r="I147" s="2" t="s">
        <v>36</v>
      </c>
      <c r="J147" s="4" t="n">
        <v>46269</v>
      </c>
    </row>
    <row r="148" customFormat="false" ht="15" hidden="false" customHeight="false" outlineLevel="0" collapsed="false">
      <c r="A148" s="2" t="s">
        <v>604</v>
      </c>
      <c r="B148" s="2" t="s">
        <v>605</v>
      </c>
      <c r="C148" s="2" t="s">
        <v>606</v>
      </c>
      <c r="D148" s="3" t="s">
        <v>607</v>
      </c>
      <c r="E148" s="2" t="s">
        <v>69</v>
      </c>
      <c r="F148" s="2" t="s">
        <v>85</v>
      </c>
      <c r="G148" s="2" t="n">
        <v>2025</v>
      </c>
      <c r="H148" s="2" t="s">
        <v>70</v>
      </c>
      <c r="I148" s="2" t="s">
        <v>43</v>
      </c>
      <c r="J148" s="4" t="n">
        <v>46242</v>
      </c>
    </row>
    <row r="149" customFormat="false" ht="15" hidden="false" customHeight="false" outlineLevel="0" collapsed="false">
      <c r="A149" s="2" t="s">
        <v>608</v>
      </c>
      <c r="B149" s="2" t="s">
        <v>609</v>
      </c>
      <c r="C149" s="2" t="s">
        <v>610</v>
      </c>
      <c r="D149" s="3" t="s">
        <v>611</v>
      </c>
      <c r="E149" s="2" t="s">
        <v>106</v>
      </c>
      <c r="F149" s="2" t="s">
        <v>35</v>
      </c>
      <c r="G149" s="2" t="n">
        <v>2026</v>
      </c>
      <c r="H149" s="2" t="s">
        <v>16</v>
      </c>
      <c r="I149" s="2" t="s">
        <v>36</v>
      </c>
      <c r="J149" s="4" t="n">
        <v>46278</v>
      </c>
    </row>
    <row r="150" customFormat="false" ht="15" hidden="false" customHeight="false" outlineLevel="0" collapsed="false">
      <c r="A150" s="2" t="s">
        <v>612</v>
      </c>
      <c r="B150" s="2" t="s">
        <v>613</v>
      </c>
      <c r="C150" s="2" t="s">
        <v>614</v>
      </c>
      <c r="D150" s="3" t="s">
        <v>615</v>
      </c>
      <c r="E150" s="2" t="s">
        <v>54</v>
      </c>
      <c r="F150" s="2" t="s">
        <v>85</v>
      </c>
      <c r="G150" s="2" t="n">
        <v>2025</v>
      </c>
      <c r="H150" s="2" t="s">
        <v>42</v>
      </c>
      <c r="I150" s="2" t="s">
        <v>17</v>
      </c>
      <c r="J150" s="4" t="n">
        <v>46260</v>
      </c>
    </row>
    <row r="151" customFormat="false" ht="15" hidden="false" customHeight="false" outlineLevel="0" collapsed="false">
      <c r="A151" s="2" t="s">
        <v>616</v>
      </c>
      <c r="B151" s="2" t="s">
        <v>513</v>
      </c>
      <c r="C151" s="2" t="s">
        <v>617</v>
      </c>
      <c r="D151" s="3" t="s">
        <v>618</v>
      </c>
      <c r="E151" s="2" t="s">
        <v>48</v>
      </c>
      <c r="F151" s="2" t="s">
        <v>85</v>
      </c>
      <c r="G151" s="2" t="n">
        <v>2027</v>
      </c>
      <c r="H151" s="2" t="s">
        <v>70</v>
      </c>
      <c r="I151" s="2" t="s">
        <v>43</v>
      </c>
      <c r="J151" s="4" t="n">
        <v>46288</v>
      </c>
    </row>
    <row r="152" customFormat="false" ht="15" hidden="false" customHeight="false" outlineLevel="0" collapsed="false">
      <c r="A152" s="2" t="s">
        <v>619</v>
      </c>
      <c r="B152" s="2" t="s">
        <v>620</v>
      </c>
      <c r="C152" s="2" t="s">
        <v>621</v>
      </c>
      <c r="D152" s="3" t="s">
        <v>622</v>
      </c>
      <c r="E152" s="2" t="s">
        <v>69</v>
      </c>
      <c r="F152" s="2" t="s">
        <v>23</v>
      </c>
      <c r="G152" s="2" t="n">
        <v>2027</v>
      </c>
      <c r="H152" s="2" t="s">
        <v>76</v>
      </c>
      <c r="I152" s="2" t="s">
        <v>43</v>
      </c>
      <c r="J152" s="4" t="n">
        <v>46275</v>
      </c>
    </row>
    <row r="153" customFormat="false" ht="15" hidden="false" customHeight="false" outlineLevel="0" collapsed="false">
      <c r="A153" s="2" t="s">
        <v>623</v>
      </c>
      <c r="B153" s="2" t="s">
        <v>501</v>
      </c>
      <c r="C153" s="2" t="s">
        <v>624</v>
      </c>
      <c r="D153" s="3" t="s">
        <v>625</v>
      </c>
      <c r="E153" s="2" t="s">
        <v>169</v>
      </c>
      <c r="F153" s="2" t="s">
        <v>64</v>
      </c>
      <c r="G153" s="2" t="n">
        <v>2025</v>
      </c>
      <c r="H153" s="2" t="s">
        <v>107</v>
      </c>
      <c r="I153" s="2" t="s">
        <v>43</v>
      </c>
      <c r="J153" s="4" t="n">
        <v>46277</v>
      </c>
    </row>
    <row r="154" customFormat="false" ht="15" hidden="false" customHeight="false" outlineLevel="0" collapsed="false">
      <c r="A154" s="2" t="s">
        <v>626</v>
      </c>
      <c r="B154" s="2" t="s">
        <v>139</v>
      </c>
      <c r="C154" s="2" t="s">
        <v>627</v>
      </c>
      <c r="D154" s="3" t="s">
        <v>628</v>
      </c>
      <c r="E154" s="2" t="s">
        <v>121</v>
      </c>
      <c r="F154" s="2" t="s">
        <v>59</v>
      </c>
      <c r="G154" s="2" t="n">
        <v>2026</v>
      </c>
      <c r="H154" s="2" t="s">
        <v>49</v>
      </c>
      <c r="I154" s="2" t="s">
        <v>17</v>
      </c>
      <c r="J154" s="4" t="n">
        <v>46231</v>
      </c>
    </row>
    <row r="155" customFormat="false" ht="15" hidden="false" customHeight="false" outlineLevel="0" collapsed="false">
      <c r="A155" s="2" t="s">
        <v>629</v>
      </c>
      <c r="B155" s="2" t="s">
        <v>341</v>
      </c>
      <c r="C155" s="2" t="s">
        <v>630</v>
      </c>
      <c r="D155" s="3" t="s">
        <v>631</v>
      </c>
      <c r="E155" s="2" t="s">
        <v>121</v>
      </c>
      <c r="F155" s="2" t="s">
        <v>59</v>
      </c>
      <c r="G155" s="2" t="n">
        <v>2026</v>
      </c>
      <c r="H155" s="2" t="s">
        <v>76</v>
      </c>
      <c r="I155" s="2" t="s">
        <v>36</v>
      </c>
      <c r="J155" s="4" t="n">
        <v>46210</v>
      </c>
    </row>
    <row r="156" customFormat="false" ht="15" hidden="false" customHeight="false" outlineLevel="0" collapsed="false">
      <c r="A156" s="2" t="s">
        <v>632</v>
      </c>
      <c r="B156" s="2" t="s">
        <v>633</v>
      </c>
      <c r="C156" s="2" t="s">
        <v>634</v>
      </c>
      <c r="D156" s="3" t="s">
        <v>635</v>
      </c>
      <c r="E156" s="2" t="s">
        <v>22</v>
      </c>
      <c r="F156" s="2" t="s">
        <v>15</v>
      </c>
      <c r="G156" s="2" t="n">
        <v>2025</v>
      </c>
      <c r="H156" s="2" t="s">
        <v>49</v>
      </c>
      <c r="I156" s="2" t="s">
        <v>43</v>
      </c>
      <c r="J156" s="4" t="n">
        <v>46229</v>
      </c>
    </row>
    <row r="157" customFormat="false" ht="15" hidden="false" customHeight="false" outlineLevel="0" collapsed="false">
      <c r="A157" s="2" t="s">
        <v>636</v>
      </c>
      <c r="B157" s="2" t="s">
        <v>637</v>
      </c>
      <c r="C157" s="2" t="s">
        <v>638</v>
      </c>
      <c r="D157" s="3" t="s">
        <v>639</v>
      </c>
      <c r="E157" s="2" t="s">
        <v>112</v>
      </c>
      <c r="F157" s="2" t="s">
        <v>41</v>
      </c>
      <c r="G157" s="2" t="n">
        <v>2025</v>
      </c>
      <c r="H157" s="2" t="s">
        <v>107</v>
      </c>
      <c r="I157" s="2" t="s">
        <v>43</v>
      </c>
      <c r="J157" s="4" t="n">
        <v>46208</v>
      </c>
    </row>
    <row r="158" customFormat="false" ht="15" hidden="false" customHeight="false" outlineLevel="0" collapsed="false">
      <c r="A158" s="2" t="s">
        <v>640</v>
      </c>
      <c r="B158" s="2" t="s">
        <v>641</v>
      </c>
      <c r="C158" s="2" t="s">
        <v>642</v>
      </c>
      <c r="D158" s="3" t="s">
        <v>643</v>
      </c>
      <c r="E158" s="2" t="s">
        <v>121</v>
      </c>
      <c r="F158" s="2" t="s">
        <v>64</v>
      </c>
      <c r="G158" s="2" t="n">
        <v>2028</v>
      </c>
      <c r="H158" s="2" t="s">
        <v>42</v>
      </c>
      <c r="I158" s="2" t="s">
        <v>43</v>
      </c>
      <c r="J158" s="4" t="n">
        <v>46271</v>
      </c>
    </row>
    <row r="159" customFormat="false" ht="15" hidden="false" customHeight="false" outlineLevel="0" collapsed="false">
      <c r="A159" s="2" t="s">
        <v>644</v>
      </c>
      <c r="B159" s="2" t="s">
        <v>645</v>
      </c>
      <c r="C159" s="2" t="s">
        <v>646</v>
      </c>
      <c r="D159" s="3" t="s">
        <v>647</v>
      </c>
      <c r="E159" s="2" t="s">
        <v>106</v>
      </c>
      <c r="F159" s="2" t="s">
        <v>15</v>
      </c>
      <c r="G159" s="2" t="n">
        <v>2027</v>
      </c>
      <c r="H159" s="2" t="s">
        <v>16</v>
      </c>
      <c r="I159" s="2" t="s">
        <v>43</v>
      </c>
      <c r="J159" s="4" t="n">
        <v>46247</v>
      </c>
    </row>
    <row r="160" customFormat="false" ht="15" hidden="false" customHeight="false" outlineLevel="0" collapsed="false">
      <c r="A160" s="2" t="s">
        <v>648</v>
      </c>
      <c r="B160" s="2" t="s">
        <v>325</v>
      </c>
      <c r="C160" s="2" t="s">
        <v>649</v>
      </c>
      <c r="D160" s="3" t="s">
        <v>650</v>
      </c>
      <c r="E160" s="2" t="s">
        <v>169</v>
      </c>
      <c r="F160" s="2" t="s">
        <v>15</v>
      </c>
      <c r="G160" s="2" t="n">
        <v>2025</v>
      </c>
      <c r="H160" s="2" t="s">
        <v>107</v>
      </c>
      <c r="I160" s="2" t="s">
        <v>36</v>
      </c>
      <c r="J160" s="4" t="n">
        <v>46265</v>
      </c>
    </row>
    <row r="161" customFormat="false" ht="15" hidden="false" customHeight="false" outlineLevel="0" collapsed="false">
      <c r="A161" s="2" t="s">
        <v>651</v>
      </c>
      <c r="B161" s="2" t="s">
        <v>652</v>
      </c>
      <c r="C161" s="2" t="s">
        <v>653</v>
      </c>
      <c r="D161" s="3" t="s">
        <v>654</v>
      </c>
      <c r="E161" s="2" t="s">
        <v>169</v>
      </c>
      <c r="F161" s="2" t="s">
        <v>64</v>
      </c>
      <c r="G161" s="2" t="n">
        <v>2025</v>
      </c>
      <c r="H161" s="2" t="s">
        <v>42</v>
      </c>
      <c r="I161" s="2" t="s">
        <v>43</v>
      </c>
      <c r="J161" s="4" t="n">
        <v>46211</v>
      </c>
    </row>
    <row r="162" customFormat="false" ht="15" hidden="false" customHeight="false" outlineLevel="0" collapsed="false">
      <c r="A162" s="2" t="s">
        <v>655</v>
      </c>
      <c r="B162" s="2" t="s">
        <v>656</v>
      </c>
      <c r="C162" s="2" t="s">
        <v>657</v>
      </c>
      <c r="D162" s="3" t="s">
        <v>658</v>
      </c>
      <c r="E162" s="2" t="s">
        <v>69</v>
      </c>
      <c r="F162" s="2" t="s">
        <v>15</v>
      </c>
      <c r="G162" s="2" t="n">
        <v>2028</v>
      </c>
      <c r="H162" s="2" t="s">
        <v>24</v>
      </c>
      <c r="I162" s="2" t="s">
        <v>36</v>
      </c>
      <c r="J162" s="4" t="n">
        <v>46232</v>
      </c>
    </row>
    <row r="163" customFormat="false" ht="15" hidden="false" customHeight="false" outlineLevel="0" collapsed="false">
      <c r="A163" s="2" t="s">
        <v>659</v>
      </c>
      <c r="B163" s="2" t="s">
        <v>265</v>
      </c>
      <c r="C163" s="2" t="s">
        <v>660</v>
      </c>
      <c r="D163" s="3" t="s">
        <v>661</v>
      </c>
      <c r="E163" s="2" t="s">
        <v>34</v>
      </c>
      <c r="F163" s="2" t="s">
        <v>59</v>
      </c>
      <c r="G163" s="2" t="n">
        <v>2025</v>
      </c>
      <c r="H163" s="2" t="s">
        <v>24</v>
      </c>
      <c r="I163" s="2" t="s">
        <v>36</v>
      </c>
      <c r="J163" s="4" t="n">
        <v>46291</v>
      </c>
    </row>
    <row r="164" customFormat="false" ht="15" hidden="false" customHeight="false" outlineLevel="0" collapsed="false">
      <c r="A164" s="2" t="s">
        <v>662</v>
      </c>
      <c r="B164" s="2" t="s">
        <v>663</v>
      </c>
      <c r="C164" s="2" t="s">
        <v>664</v>
      </c>
      <c r="D164" s="3" t="s">
        <v>665</v>
      </c>
      <c r="E164" s="2" t="s">
        <v>34</v>
      </c>
      <c r="F164" s="2" t="s">
        <v>23</v>
      </c>
      <c r="G164" s="2" t="n">
        <v>2025</v>
      </c>
      <c r="H164" s="2" t="s">
        <v>70</v>
      </c>
      <c r="I164" s="2" t="s">
        <v>43</v>
      </c>
      <c r="J164" s="4" t="n">
        <v>46223</v>
      </c>
    </row>
    <row r="165" customFormat="false" ht="15" hidden="false" customHeight="false" outlineLevel="0" collapsed="false">
      <c r="A165" s="2" t="s">
        <v>666</v>
      </c>
      <c r="B165" s="2" t="s">
        <v>321</v>
      </c>
      <c r="C165" s="2" t="s">
        <v>667</v>
      </c>
      <c r="D165" s="3" t="s">
        <v>668</v>
      </c>
      <c r="E165" s="2" t="s">
        <v>169</v>
      </c>
      <c r="F165" s="2" t="s">
        <v>85</v>
      </c>
      <c r="G165" s="2" t="n">
        <v>2025</v>
      </c>
      <c r="H165" s="2" t="s">
        <v>42</v>
      </c>
      <c r="I165" s="2" t="s">
        <v>17</v>
      </c>
      <c r="J165" s="4" t="n">
        <v>46269</v>
      </c>
    </row>
    <row r="166" customFormat="false" ht="15" hidden="false" customHeight="false" outlineLevel="0" collapsed="false">
      <c r="A166" s="2" t="s">
        <v>669</v>
      </c>
      <c r="B166" s="2" t="s">
        <v>670</v>
      </c>
      <c r="C166" s="2" t="s">
        <v>671</v>
      </c>
      <c r="D166" s="3" t="s">
        <v>672</v>
      </c>
      <c r="E166" s="2" t="s">
        <v>112</v>
      </c>
      <c r="F166" s="2" t="s">
        <v>41</v>
      </c>
      <c r="G166" s="2" t="n">
        <v>2028</v>
      </c>
      <c r="H166" s="2" t="s">
        <v>49</v>
      </c>
      <c r="I166" s="2" t="s">
        <v>17</v>
      </c>
      <c r="J166" s="4" t="n">
        <v>46248</v>
      </c>
    </row>
    <row r="167" customFormat="false" ht="15" hidden="false" customHeight="false" outlineLevel="0" collapsed="false">
      <c r="A167" s="2" t="s">
        <v>673</v>
      </c>
      <c r="B167" s="2" t="s">
        <v>674</v>
      </c>
      <c r="C167" s="2" t="s">
        <v>675</v>
      </c>
      <c r="D167" s="3" t="s">
        <v>676</v>
      </c>
      <c r="E167" s="2" t="s">
        <v>121</v>
      </c>
      <c r="F167" s="2" t="s">
        <v>64</v>
      </c>
      <c r="G167" s="2" t="n">
        <v>2027</v>
      </c>
      <c r="H167" s="2" t="s">
        <v>16</v>
      </c>
      <c r="I167" s="2" t="s">
        <v>17</v>
      </c>
      <c r="J167" s="4" t="n">
        <v>46252</v>
      </c>
    </row>
    <row r="168" customFormat="false" ht="15" hidden="false" customHeight="false" outlineLevel="0" collapsed="false">
      <c r="A168" s="2" t="s">
        <v>677</v>
      </c>
      <c r="B168" s="2" t="s">
        <v>678</v>
      </c>
      <c r="C168" s="2" t="s">
        <v>679</v>
      </c>
      <c r="D168" s="3" t="s">
        <v>680</v>
      </c>
      <c r="E168" s="2" t="s">
        <v>48</v>
      </c>
      <c r="F168" s="2" t="s">
        <v>64</v>
      </c>
      <c r="G168" s="2" t="n">
        <v>2028</v>
      </c>
      <c r="H168" s="2" t="s">
        <v>70</v>
      </c>
      <c r="I168" s="2" t="s">
        <v>43</v>
      </c>
      <c r="J168" s="4" t="n">
        <v>46232</v>
      </c>
    </row>
    <row r="169" customFormat="false" ht="15" hidden="false" customHeight="false" outlineLevel="0" collapsed="false">
      <c r="A169" s="2" t="s">
        <v>681</v>
      </c>
      <c r="B169" s="2" t="s">
        <v>682</v>
      </c>
      <c r="C169" s="2" t="s">
        <v>683</v>
      </c>
      <c r="D169" s="3" t="s">
        <v>684</v>
      </c>
      <c r="E169" s="2" t="s">
        <v>112</v>
      </c>
      <c r="F169" s="2" t="s">
        <v>85</v>
      </c>
      <c r="G169" s="2" t="n">
        <v>2028</v>
      </c>
      <c r="H169" s="2" t="s">
        <v>70</v>
      </c>
      <c r="I169" s="2" t="s">
        <v>17</v>
      </c>
      <c r="J169" s="4" t="n">
        <v>46248</v>
      </c>
    </row>
    <row r="170" customFormat="false" ht="15" hidden="false" customHeight="false" outlineLevel="0" collapsed="false">
      <c r="A170" s="2" t="s">
        <v>685</v>
      </c>
      <c r="B170" s="2" t="s">
        <v>95</v>
      </c>
      <c r="C170" s="2" t="s">
        <v>686</v>
      </c>
      <c r="D170" s="3" t="s">
        <v>687</v>
      </c>
      <c r="E170" s="2" t="s">
        <v>69</v>
      </c>
      <c r="F170" s="2" t="s">
        <v>59</v>
      </c>
      <c r="G170" s="2" t="n">
        <v>2028</v>
      </c>
      <c r="H170" s="2" t="s">
        <v>76</v>
      </c>
      <c r="I170" s="2" t="s">
        <v>17</v>
      </c>
      <c r="J170" s="4" t="n">
        <v>46216</v>
      </c>
    </row>
    <row r="171" customFormat="false" ht="15" hidden="false" customHeight="false" outlineLevel="0" collapsed="false">
      <c r="A171" s="2" t="s">
        <v>688</v>
      </c>
      <c r="B171" s="2" t="s">
        <v>689</v>
      </c>
      <c r="C171" s="2" t="s">
        <v>690</v>
      </c>
      <c r="D171" s="3" t="s">
        <v>691</v>
      </c>
      <c r="E171" s="2" t="s">
        <v>34</v>
      </c>
      <c r="F171" s="2" t="s">
        <v>15</v>
      </c>
      <c r="G171" s="2" t="n">
        <v>2027</v>
      </c>
      <c r="H171" s="2" t="s">
        <v>49</v>
      </c>
      <c r="I171" s="2" t="s">
        <v>43</v>
      </c>
      <c r="J171" s="4" t="n">
        <v>46211</v>
      </c>
    </row>
    <row r="172" customFormat="false" ht="15" hidden="false" customHeight="false" outlineLevel="0" collapsed="false">
      <c r="A172" s="2" t="s">
        <v>692</v>
      </c>
      <c r="B172" s="2" t="s">
        <v>329</v>
      </c>
      <c r="C172" s="2" t="s">
        <v>693</v>
      </c>
      <c r="D172" s="3" t="s">
        <v>694</v>
      </c>
      <c r="E172" s="2" t="s">
        <v>48</v>
      </c>
      <c r="F172" s="2" t="s">
        <v>23</v>
      </c>
      <c r="G172" s="2" t="n">
        <v>2028</v>
      </c>
      <c r="H172" s="2" t="s">
        <v>16</v>
      </c>
      <c r="I172" s="2" t="s">
        <v>43</v>
      </c>
      <c r="J172" s="4" t="n">
        <v>46232</v>
      </c>
    </row>
    <row r="173" customFormat="false" ht="15" hidden="false" customHeight="false" outlineLevel="0" collapsed="false">
      <c r="A173" s="2" t="s">
        <v>695</v>
      </c>
      <c r="B173" s="2" t="s">
        <v>696</v>
      </c>
      <c r="C173" s="2" t="s">
        <v>697</v>
      </c>
      <c r="D173" s="3" t="s">
        <v>698</v>
      </c>
      <c r="E173" s="2" t="s">
        <v>69</v>
      </c>
      <c r="F173" s="2" t="s">
        <v>35</v>
      </c>
      <c r="G173" s="2" t="n">
        <v>2028</v>
      </c>
      <c r="H173" s="2" t="s">
        <v>16</v>
      </c>
      <c r="I173" s="2" t="s">
        <v>36</v>
      </c>
      <c r="J173" s="4" t="n">
        <v>46244</v>
      </c>
    </row>
    <row r="174" customFormat="false" ht="15" hidden="false" customHeight="false" outlineLevel="0" collapsed="false">
      <c r="A174" s="2" t="s">
        <v>699</v>
      </c>
      <c r="B174" s="2" t="s">
        <v>700</v>
      </c>
      <c r="C174" s="2" t="s">
        <v>701</v>
      </c>
      <c r="D174" s="3" t="s">
        <v>702</v>
      </c>
      <c r="E174" s="2" t="s">
        <v>54</v>
      </c>
      <c r="F174" s="2" t="s">
        <v>85</v>
      </c>
      <c r="G174" s="2" t="n">
        <v>2027</v>
      </c>
      <c r="H174" s="2" t="s">
        <v>16</v>
      </c>
      <c r="I174" s="2" t="s">
        <v>36</v>
      </c>
      <c r="J174" s="4" t="n">
        <v>46271</v>
      </c>
    </row>
    <row r="175" customFormat="false" ht="15" hidden="false" customHeight="false" outlineLevel="0" collapsed="false">
      <c r="A175" s="2" t="s">
        <v>703</v>
      </c>
      <c r="B175" s="2" t="s">
        <v>517</v>
      </c>
      <c r="C175" s="2" t="s">
        <v>704</v>
      </c>
      <c r="D175" s="3" t="s">
        <v>705</v>
      </c>
      <c r="E175" s="2" t="s">
        <v>34</v>
      </c>
      <c r="F175" s="2" t="s">
        <v>64</v>
      </c>
      <c r="G175" s="2" t="n">
        <v>2026</v>
      </c>
      <c r="H175" s="2" t="s">
        <v>76</v>
      </c>
      <c r="I175" s="2" t="s">
        <v>17</v>
      </c>
      <c r="J175" s="4" t="n">
        <v>46252</v>
      </c>
    </row>
    <row r="176" customFormat="false" ht="15" hidden="false" customHeight="false" outlineLevel="0" collapsed="false">
      <c r="A176" s="2" t="s">
        <v>706</v>
      </c>
      <c r="B176" s="2" t="s">
        <v>707</v>
      </c>
      <c r="C176" s="2" t="s">
        <v>708</v>
      </c>
      <c r="D176" s="3" t="s">
        <v>709</v>
      </c>
      <c r="E176" s="2" t="s">
        <v>54</v>
      </c>
      <c r="F176" s="2" t="s">
        <v>35</v>
      </c>
      <c r="G176" s="2" t="n">
        <v>2026</v>
      </c>
      <c r="H176" s="2" t="s">
        <v>76</v>
      </c>
      <c r="I176" s="2" t="s">
        <v>17</v>
      </c>
      <c r="J176" s="4" t="n">
        <v>46205</v>
      </c>
    </row>
    <row r="177" customFormat="false" ht="15" hidden="false" customHeight="false" outlineLevel="0" collapsed="false">
      <c r="A177" s="2" t="s">
        <v>710</v>
      </c>
      <c r="B177" s="2" t="s">
        <v>38</v>
      </c>
      <c r="C177" s="2" t="s">
        <v>711</v>
      </c>
      <c r="D177" s="3" t="s">
        <v>712</v>
      </c>
      <c r="E177" s="2" t="s">
        <v>69</v>
      </c>
      <c r="F177" s="2" t="s">
        <v>23</v>
      </c>
      <c r="G177" s="2" t="n">
        <v>2027</v>
      </c>
      <c r="H177" s="2" t="s">
        <v>49</v>
      </c>
      <c r="I177" s="2" t="s">
        <v>43</v>
      </c>
      <c r="J177" s="4" t="n">
        <v>46252</v>
      </c>
    </row>
    <row r="178" customFormat="false" ht="15" hidden="false" customHeight="false" outlineLevel="0" collapsed="false">
      <c r="A178" s="2" t="s">
        <v>713</v>
      </c>
      <c r="B178" s="2" t="s">
        <v>714</v>
      </c>
      <c r="C178" s="2" t="s">
        <v>715</v>
      </c>
      <c r="D178" s="3" t="s">
        <v>716</v>
      </c>
      <c r="E178" s="2" t="s">
        <v>34</v>
      </c>
      <c r="F178" s="2" t="s">
        <v>64</v>
      </c>
      <c r="G178" s="2" t="n">
        <v>2028</v>
      </c>
      <c r="H178" s="2" t="s">
        <v>107</v>
      </c>
      <c r="I178" s="2" t="s">
        <v>17</v>
      </c>
      <c r="J178" s="4" t="n">
        <v>46276</v>
      </c>
    </row>
    <row r="179" customFormat="false" ht="15" hidden="false" customHeight="false" outlineLevel="0" collapsed="false">
      <c r="A179" s="2" t="s">
        <v>717</v>
      </c>
      <c r="B179" s="2" t="s">
        <v>579</v>
      </c>
      <c r="C179" s="2" t="s">
        <v>718</v>
      </c>
      <c r="D179" s="3" t="s">
        <v>719</v>
      </c>
      <c r="E179" s="2" t="s">
        <v>54</v>
      </c>
      <c r="F179" s="2" t="s">
        <v>64</v>
      </c>
      <c r="G179" s="2" t="n">
        <v>2028</v>
      </c>
      <c r="H179" s="2" t="s">
        <v>76</v>
      </c>
      <c r="I179" s="2" t="s">
        <v>17</v>
      </c>
      <c r="J179" s="4" t="n">
        <v>46252</v>
      </c>
    </row>
    <row r="180" customFormat="false" ht="15" hidden="false" customHeight="false" outlineLevel="0" collapsed="false">
      <c r="A180" s="2" t="s">
        <v>720</v>
      </c>
      <c r="B180" s="2" t="s">
        <v>325</v>
      </c>
      <c r="C180" s="2" t="s">
        <v>721</v>
      </c>
      <c r="D180" s="3" t="s">
        <v>722</v>
      </c>
      <c r="E180" s="2" t="s">
        <v>48</v>
      </c>
      <c r="F180" s="2" t="s">
        <v>59</v>
      </c>
      <c r="G180" s="2" t="n">
        <v>2025</v>
      </c>
      <c r="H180" s="2" t="s">
        <v>76</v>
      </c>
      <c r="I180" s="2" t="s">
        <v>17</v>
      </c>
      <c r="J180" s="4" t="n">
        <v>46273</v>
      </c>
    </row>
    <row r="181" customFormat="false" ht="15" hidden="false" customHeight="false" outlineLevel="0" collapsed="false">
      <c r="A181" s="2" t="s">
        <v>723</v>
      </c>
      <c r="B181" s="2" t="s">
        <v>724</v>
      </c>
      <c r="C181" s="2" t="s">
        <v>725</v>
      </c>
      <c r="D181" s="3" t="s">
        <v>726</v>
      </c>
      <c r="E181" s="2" t="s">
        <v>34</v>
      </c>
      <c r="F181" s="2" t="s">
        <v>64</v>
      </c>
      <c r="G181" s="2" t="n">
        <v>2028</v>
      </c>
      <c r="H181" s="2" t="s">
        <v>42</v>
      </c>
      <c r="I181" s="2" t="s">
        <v>43</v>
      </c>
      <c r="J181" s="4" t="n">
        <v>46223</v>
      </c>
    </row>
    <row r="182" customFormat="false" ht="15" hidden="false" customHeight="false" outlineLevel="0" collapsed="false">
      <c r="A182" s="2" t="s">
        <v>727</v>
      </c>
      <c r="B182" s="2" t="s">
        <v>728</v>
      </c>
      <c r="C182" s="2" t="s">
        <v>729</v>
      </c>
      <c r="D182" s="3" t="s">
        <v>730</v>
      </c>
      <c r="E182" s="2" t="s">
        <v>69</v>
      </c>
      <c r="F182" s="2" t="s">
        <v>64</v>
      </c>
      <c r="G182" s="2" t="n">
        <v>2028</v>
      </c>
      <c r="H182" s="2" t="s">
        <v>24</v>
      </c>
      <c r="I182" s="2" t="s">
        <v>17</v>
      </c>
      <c r="J182" s="4" t="n">
        <v>46274</v>
      </c>
    </row>
    <row r="183" customFormat="false" ht="15" hidden="false" customHeight="false" outlineLevel="0" collapsed="false">
      <c r="A183" s="2" t="s">
        <v>731</v>
      </c>
      <c r="B183" s="2" t="s">
        <v>432</v>
      </c>
      <c r="C183" s="2" t="s">
        <v>732</v>
      </c>
      <c r="D183" s="3" t="s">
        <v>733</v>
      </c>
      <c r="E183" s="2" t="s">
        <v>106</v>
      </c>
      <c r="F183" s="2" t="s">
        <v>59</v>
      </c>
      <c r="G183" s="2" t="n">
        <v>2027</v>
      </c>
      <c r="H183" s="2" t="s">
        <v>76</v>
      </c>
      <c r="I183" s="2" t="s">
        <v>43</v>
      </c>
      <c r="J183" s="4" t="n">
        <v>46271</v>
      </c>
    </row>
    <row r="184" customFormat="false" ht="15" hidden="false" customHeight="false" outlineLevel="0" collapsed="false">
      <c r="A184" s="2" t="s">
        <v>734</v>
      </c>
      <c r="B184" s="2" t="s">
        <v>652</v>
      </c>
      <c r="C184" s="2" t="s">
        <v>735</v>
      </c>
      <c r="D184" s="3" t="s">
        <v>736</v>
      </c>
      <c r="E184" s="2" t="s">
        <v>106</v>
      </c>
      <c r="F184" s="2" t="s">
        <v>23</v>
      </c>
      <c r="G184" s="2" t="n">
        <v>2028</v>
      </c>
      <c r="H184" s="2" t="s">
        <v>70</v>
      </c>
      <c r="I184" s="2" t="s">
        <v>43</v>
      </c>
      <c r="J184" s="4" t="n">
        <v>46242</v>
      </c>
    </row>
    <row r="185" customFormat="false" ht="15" hidden="false" customHeight="false" outlineLevel="0" collapsed="false">
      <c r="A185" s="2" t="s">
        <v>737</v>
      </c>
      <c r="B185" s="2" t="s">
        <v>738</v>
      </c>
      <c r="C185" s="2" t="s">
        <v>739</v>
      </c>
      <c r="D185" s="3" t="s">
        <v>740</v>
      </c>
      <c r="E185" s="2" t="s">
        <v>34</v>
      </c>
      <c r="F185" s="2" t="s">
        <v>85</v>
      </c>
      <c r="G185" s="2" t="n">
        <v>2025</v>
      </c>
      <c r="H185" s="2" t="s">
        <v>70</v>
      </c>
      <c r="I185" s="2" t="s">
        <v>17</v>
      </c>
      <c r="J185" s="4" t="n">
        <v>46293</v>
      </c>
    </row>
    <row r="186" customFormat="false" ht="15" hidden="false" customHeight="false" outlineLevel="0" collapsed="false">
      <c r="A186" s="2" t="s">
        <v>741</v>
      </c>
      <c r="B186" s="2" t="s">
        <v>742</v>
      </c>
      <c r="C186" s="2" t="s">
        <v>743</v>
      </c>
      <c r="D186" s="3" t="s">
        <v>744</v>
      </c>
      <c r="E186" s="2" t="s">
        <v>29</v>
      </c>
      <c r="F186" s="2" t="s">
        <v>59</v>
      </c>
      <c r="G186" s="2" t="n">
        <v>2026</v>
      </c>
      <c r="H186" s="2" t="s">
        <v>70</v>
      </c>
      <c r="I186" s="2" t="s">
        <v>17</v>
      </c>
      <c r="J186" s="4" t="n">
        <v>46292</v>
      </c>
    </row>
    <row r="187" customFormat="false" ht="15" hidden="false" customHeight="false" outlineLevel="0" collapsed="false">
      <c r="A187" s="2" t="s">
        <v>745</v>
      </c>
      <c r="B187" s="2" t="s">
        <v>432</v>
      </c>
      <c r="C187" s="2" t="s">
        <v>746</v>
      </c>
      <c r="D187" s="3" t="s">
        <v>747</v>
      </c>
      <c r="E187" s="2" t="s">
        <v>106</v>
      </c>
      <c r="F187" s="2" t="s">
        <v>85</v>
      </c>
      <c r="G187" s="2" t="n">
        <v>2026</v>
      </c>
      <c r="H187" s="2" t="s">
        <v>24</v>
      </c>
      <c r="I187" s="2" t="s">
        <v>36</v>
      </c>
      <c r="J187" s="4" t="n">
        <v>46242</v>
      </c>
    </row>
    <row r="188" customFormat="false" ht="15" hidden="false" customHeight="false" outlineLevel="0" collapsed="false">
      <c r="A188" s="2" t="s">
        <v>748</v>
      </c>
      <c r="B188" s="2" t="s">
        <v>749</v>
      </c>
      <c r="C188" s="2" t="s">
        <v>750</v>
      </c>
      <c r="D188" s="3" t="s">
        <v>751</v>
      </c>
      <c r="E188" s="2" t="s">
        <v>29</v>
      </c>
      <c r="F188" s="2" t="s">
        <v>15</v>
      </c>
      <c r="G188" s="2" t="n">
        <v>2028</v>
      </c>
      <c r="H188" s="2" t="s">
        <v>24</v>
      </c>
      <c r="I188" s="2" t="s">
        <v>43</v>
      </c>
      <c r="J188" s="4" t="n">
        <v>46248</v>
      </c>
    </row>
    <row r="189" customFormat="false" ht="15" hidden="false" customHeight="false" outlineLevel="0" collapsed="false">
      <c r="A189" s="2" t="s">
        <v>752</v>
      </c>
      <c r="B189" s="2" t="s">
        <v>753</v>
      </c>
      <c r="C189" s="2" t="s">
        <v>754</v>
      </c>
      <c r="D189" s="3" t="s">
        <v>755</v>
      </c>
      <c r="E189" s="2" t="s">
        <v>14</v>
      </c>
      <c r="F189" s="2" t="s">
        <v>85</v>
      </c>
      <c r="G189" s="2" t="n">
        <v>2027</v>
      </c>
      <c r="H189" s="2" t="s">
        <v>24</v>
      </c>
      <c r="I189" s="2" t="s">
        <v>17</v>
      </c>
      <c r="J189" s="4" t="n">
        <v>46261</v>
      </c>
    </row>
    <row r="190" customFormat="false" ht="15" hidden="false" customHeight="false" outlineLevel="0" collapsed="false">
      <c r="A190" s="2" t="s">
        <v>756</v>
      </c>
      <c r="B190" s="2" t="s">
        <v>757</v>
      </c>
      <c r="C190" s="2" t="s">
        <v>758</v>
      </c>
      <c r="D190" s="3" t="s">
        <v>759</v>
      </c>
      <c r="E190" s="2" t="s">
        <v>54</v>
      </c>
      <c r="F190" s="2" t="s">
        <v>41</v>
      </c>
      <c r="G190" s="2" t="n">
        <v>2027</v>
      </c>
      <c r="H190" s="2" t="s">
        <v>16</v>
      </c>
      <c r="I190" s="2" t="s">
        <v>17</v>
      </c>
      <c r="J190" s="4" t="n">
        <v>46223</v>
      </c>
    </row>
    <row r="191" customFormat="false" ht="15" hidden="false" customHeight="false" outlineLevel="0" collapsed="false">
      <c r="A191" s="2" t="s">
        <v>760</v>
      </c>
      <c r="B191" s="2" t="s">
        <v>761</v>
      </c>
      <c r="C191" s="2" t="s">
        <v>762</v>
      </c>
      <c r="D191" s="3" t="s">
        <v>763</v>
      </c>
      <c r="E191" s="2" t="s">
        <v>169</v>
      </c>
      <c r="F191" s="2" t="s">
        <v>23</v>
      </c>
      <c r="G191" s="2" t="n">
        <v>2028</v>
      </c>
      <c r="H191" s="2" t="s">
        <v>24</v>
      </c>
      <c r="I191" s="2" t="s">
        <v>17</v>
      </c>
      <c r="J191" s="4" t="n">
        <v>46261</v>
      </c>
    </row>
    <row r="192" customFormat="false" ht="15" hidden="false" customHeight="false" outlineLevel="0" collapsed="false">
      <c r="A192" s="2" t="s">
        <v>764</v>
      </c>
      <c r="B192" s="2" t="s">
        <v>663</v>
      </c>
      <c r="C192" s="2" t="s">
        <v>765</v>
      </c>
      <c r="D192" s="3" t="s">
        <v>766</v>
      </c>
      <c r="E192" s="2" t="s">
        <v>106</v>
      </c>
      <c r="F192" s="2" t="s">
        <v>41</v>
      </c>
      <c r="G192" s="2" t="n">
        <v>2028</v>
      </c>
      <c r="H192" s="2" t="s">
        <v>24</v>
      </c>
      <c r="I192" s="2" t="s">
        <v>17</v>
      </c>
      <c r="J192" s="4" t="n">
        <v>46225</v>
      </c>
    </row>
    <row r="193" customFormat="false" ht="15" hidden="false" customHeight="false" outlineLevel="0" collapsed="false">
      <c r="A193" s="2" t="s">
        <v>767</v>
      </c>
      <c r="B193" s="2" t="s">
        <v>565</v>
      </c>
      <c r="C193" s="2" t="s">
        <v>768</v>
      </c>
      <c r="D193" s="3" t="s">
        <v>769</v>
      </c>
      <c r="E193" s="2" t="s">
        <v>106</v>
      </c>
      <c r="F193" s="2" t="s">
        <v>85</v>
      </c>
      <c r="G193" s="2" t="n">
        <v>2027</v>
      </c>
      <c r="H193" s="2" t="s">
        <v>76</v>
      </c>
      <c r="I193" s="2" t="s">
        <v>43</v>
      </c>
      <c r="J193" s="4" t="n">
        <v>46284</v>
      </c>
    </row>
    <row r="194" customFormat="false" ht="15" hidden="false" customHeight="false" outlineLevel="0" collapsed="false">
      <c r="A194" s="2" t="s">
        <v>770</v>
      </c>
      <c r="B194" s="2" t="s">
        <v>771</v>
      </c>
      <c r="C194" s="2" t="s">
        <v>772</v>
      </c>
      <c r="D194" s="3" t="s">
        <v>773</v>
      </c>
      <c r="E194" s="2" t="s">
        <v>121</v>
      </c>
      <c r="F194" s="2" t="s">
        <v>23</v>
      </c>
      <c r="G194" s="2" t="n">
        <v>2027</v>
      </c>
      <c r="H194" s="2" t="s">
        <v>107</v>
      </c>
      <c r="I194" s="2" t="s">
        <v>36</v>
      </c>
      <c r="J194" s="4" t="n">
        <v>46287</v>
      </c>
    </row>
    <row r="195" customFormat="false" ht="15" hidden="false" customHeight="false" outlineLevel="0" collapsed="false">
      <c r="A195" s="2" t="s">
        <v>774</v>
      </c>
      <c r="B195" s="2" t="s">
        <v>775</v>
      </c>
      <c r="C195" s="2" t="s">
        <v>776</v>
      </c>
      <c r="D195" s="3" t="s">
        <v>777</v>
      </c>
      <c r="E195" s="2" t="s">
        <v>34</v>
      </c>
      <c r="F195" s="2" t="s">
        <v>15</v>
      </c>
      <c r="G195" s="2" t="n">
        <v>2026</v>
      </c>
      <c r="H195" s="2" t="s">
        <v>42</v>
      </c>
      <c r="I195" s="2" t="s">
        <v>36</v>
      </c>
      <c r="J195" s="4" t="n">
        <v>46235</v>
      </c>
    </row>
    <row r="196" customFormat="false" ht="15" hidden="false" customHeight="false" outlineLevel="0" collapsed="false">
      <c r="A196" s="2" t="s">
        <v>778</v>
      </c>
      <c r="B196" s="2" t="s">
        <v>139</v>
      </c>
      <c r="C196" s="2" t="s">
        <v>779</v>
      </c>
      <c r="D196" s="3" t="s">
        <v>780</v>
      </c>
      <c r="E196" s="2" t="s">
        <v>54</v>
      </c>
      <c r="F196" s="2" t="s">
        <v>35</v>
      </c>
      <c r="G196" s="2" t="n">
        <v>2027</v>
      </c>
      <c r="H196" s="2" t="s">
        <v>49</v>
      </c>
      <c r="I196" s="2" t="s">
        <v>43</v>
      </c>
      <c r="J196" s="4" t="n">
        <v>46230</v>
      </c>
    </row>
    <row r="197" customFormat="false" ht="15" hidden="false" customHeight="false" outlineLevel="0" collapsed="false">
      <c r="A197" s="2" t="s">
        <v>781</v>
      </c>
      <c r="B197" s="2" t="s">
        <v>26</v>
      </c>
      <c r="C197" s="2" t="s">
        <v>782</v>
      </c>
      <c r="D197" s="3" t="s">
        <v>783</v>
      </c>
      <c r="E197" s="2" t="s">
        <v>75</v>
      </c>
      <c r="F197" s="2" t="s">
        <v>15</v>
      </c>
      <c r="G197" s="2" t="n">
        <v>2028</v>
      </c>
      <c r="H197" s="2" t="s">
        <v>70</v>
      </c>
      <c r="I197" s="2" t="s">
        <v>17</v>
      </c>
      <c r="J197" s="4" t="n">
        <v>46252</v>
      </c>
    </row>
    <row r="198" customFormat="false" ht="15" hidden="false" customHeight="false" outlineLevel="0" collapsed="false">
      <c r="A198" s="2" t="s">
        <v>784</v>
      </c>
      <c r="B198" s="2" t="s">
        <v>785</v>
      </c>
      <c r="C198" s="2" t="s">
        <v>786</v>
      </c>
      <c r="D198" s="3" t="s">
        <v>787</v>
      </c>
      <c r="E198" s="2" t="s">
        <v>29</v>
      </c>
      <c r="F198" s="2" t="s">
        <v>35</v>
      </c>
      <c r="G198" s="2" t="n">
        <v>2025</v>
      </c>
      <c r="H198" s="2" t="s">
        <v>70</v>
      </c>
      <c r="I198" s="2" t="s">
        <v>36</v>
      </c>
      <c r="J198" s="4" t="n">
        <v>46272</v>
      </c>
    </row>
    <row r="199" customFormat="false" ht="15" hidden="false" customHeight="false" outlineLevel="0" collapsed="false">
      <c r="A199" s="2" t="s">
        <v>788</v>
      </c>
      <c r="B199" s="2" t="s">
        <v>218</v>
      </c>
      <c r="C199" s="2" t="s">
        <v>789</v>
      </c>
      <c r="D199" s="3" t="s">
        <v>790</v>
      </c>
      <c r="E199" s="2" t="s">
        <v>69</v>
      </c>
      <c r="F199" s="2" t="s">
        <v>15</v>
      </c>
      <c r="G199" s="2" t="n">
        <v>2026</v>
      </c>
      <c r="H199" s="2" t="s">
        <v>76</v>
      </c>
      <c r="I199" s="2" t="s">
        <v>43</v>
      </c>
      <c r="J199" s="4" t="n">
        <v>46259</v>
      </c>
    </row>
    <row r="200" customFormat="false" ht="15" hidden="false" customHeight="false" outlineLevel="0" collapsed="false">
      <c r="A200" s="2" t="s">
        <v>791</v>
      </c>
      <c r="B200" s="2" t="s">
        <v>385</v>
      </c>
      <c r="C200" s="2" t="s">
        <v>792</v>
      </c>
      <c r="D200" s="3" t="s">
        <v>793</v>
      </c>
      <c r="E200" s="2" t="s">
        <v>14</v>
      </c>
      <c r="F200" s="2" t="s">
        <v>59</v>
      </c>
      <c r="G200" s="2" t="n">
        <v>2026</v>
      </c>
      <c r="H200" s="2" t="s">
        <v>107</v>
      </c>
      <c r="I200" s="2" t="s">
        <v>43</v>
      </c>
      <c r="J200" s="4" t="n">
        <v>46290</v>
      </c>
    </row>
    <row r="201" customFormat="false" ht="15" hidden="false" customHeight="false" outlineLevel="0" collapsed="false">
      <c r="A201" s="2" t="s">
        <v>794</v>
      </c>
      <c r="B201" s="2" t="s">
        <v>385</v>
      </c>
      <c r="C201" s="2" t="s">
        <v>795</v>
      </c>
      <c r="D201" s="3" t="s">
        <v>796</v>
      </c>
      <c r="E201" s="2" t="s">
        <v>69</v>
      </c>
      <c r="F201" s="2" t="s">
        <v>59</v>
      </c>
      <c r="G201" s="2" t="n">
        <v>2025</v>
      </c>
      <c r="H201" s="2" t="s">
        <v>24</v>
      </c>
      <c r="I201" s="2" t="s">
        <v>43</v>
      </c>
      <c r="J201" s="4" t="n">
        <v>46230</v>
      </c>
    </row>
    <row r="202" customFormat="false" ht="15" hidden="false" customHeight="false" outlineLevel="0" collapsed="false">
      <c r="A202" s="2" t="s">
        <v>797</v>
      </c>
      <c r="B202" s="2" t="s">
        <v>798</v>
      </c>
      <c r="C202" s="2" t="s">
        <v>799</v>
      </c>
      <c r="D202" s="3" t="s">
        <v>800</v>
      </c>
      <c r="E202" s="2" t="s">
        <v>22</v>
      </c>
      <c r="F202" s="2" t="s">
        <v>85</v>
      </c>
      <c r="G202" s="2" t="n">
        <v>2028</v>
      </c>
      <c r="H202" s="2" t="s">
        <v>42</v>
      </c>
      <c r="I202" s="2" t="s">
        <v>17</v>
      </c>
      <c r="J202" s="4" t="n">
        <v>46225</v>
      </c>
    </row>
    <row r="203" customFormat="false" ht="15" hidden="false" customHeight="false" outlineLevel="0" collapsed="false">
      <c r="A203" s="2" t="s">
        <v>801</v>
      </c>
      <c r="B203" s="2" t="s">
        <v>802</v>
      </c>
      <c r="C203" s="2" t="s">
        <v>803</v>
      </c>
      <c r="D203" s="3" t="s">
        <v>804</v>
      </c>
      <c r="E203" s="2" t="s">
        <v>169</v>
      </c>
      <c r="F203" s="2" t="s">
        <v>85</v>
      </c>
      <c r="G203" s="2" t="n">
        <v>2025</v>
      </c>
      <c r="H203" s="2" t="s">
        <v>70</v>
      </c>
      <c r="I203" s="2" t="s">
        <v>17</v>
      </c>
      <c r="J203" s="4" t="n">
        <v>46259</v>
      </c>
    </row>
    <row r="204" customFormat="false" ht="15" hidden="false" customHeight="false" outlineLevel="0" collapsed="false">
      <c r="A204" s="2" t="s">
        <v>805</v>
      </c>
      <c r="B204" s="2" t="s">
        <v>806</v>
      </c>
      <c r="C204" s="2" t="s">
        <v>807</v>
      </c>
      <c r="D204" s="3" t="s">
        <v>808</v>
      </c>
      <c r="E204" s="2" t="s">
        <v>34</v>
      </c>
      <c r="F204" s="2" t="s">
        <v>23</v>
      </c>
      <c r="G204" s="2" t="n">
        <v>2025</v>
      </c>
      <c r="H204" s="2" t="s">
        <v>107</v>
      </c>
      <c r="I204" s="2" t="s">
        <v>43</v>
      </c>
      <c r="J204" s="4" t="n">
        <v>46229</v>
      </c>
    </row>
    <row r="205" customFormat="false" ht="15" hidden="false" customHeight="false" outlineLevel="0" collapsed="false">
      <c r="A205" s="2" t="s">
        <v>809</v>
      </c>
      <c r="B205" s="2" t="s">
        <v>810</v>
      </c>
      <c r="C205" s="2" t="s">
        <v>811</v>
      </c>
      <c r="D205" s="3" t="s">
        <v>812</v>
      </c>
      <c r="E205" s="2" t="s">
        <v>14</v>
      </c>
      <c r="F205" s="2" t="s">
        <v>35</v>
      </c>
      <c r="G205" s="2" t="n">
        <v>2027</v>
      </c>
      <c r="H205" s="2" t="s">
        <v>42</v>
      </c>
      <c r="I205" s="2" t="s">
        <v>17</v>
      </c>
      <c r="J205" s="4" t="n">
        <v>46290</v>
      </c>
    </row>
    <row r="206" customFormat="false" ht="15" hidden="false" customHeight="false" outlineLevel="0" collapsed="false">
      <c r="A206" s="2" t="s">
        <v>813</v>
      </c>
      <c r="B206" s="2" t="s">
        <v>814</v>
      </c>
      <c r="C206" s="2" t="s">
        <v>815</v>
      </c>
      <c r="D206" s="3" t="s">
        <v>816</v>
      </c>
      <c r="E206" s="2" t="s">
        <v>75</v>
      </c>
      <c r="F206" s="2" t="s">
        <v>35</v>
      </c>
      <c r="G206" s="2" t="n">
        <v>2028</v>
      </c>
      <c r="H206" s="2" t="s">
        <v>107</v>
      </c>
      <c r="I206" s="2" t="s">
        <v>17</v>
      </c>
      <c r="J206" s="4" t="n">
        <v>46221</v>
      </c>
    </row>
    <row r="207" customFormat="false" ht="15" hidden="false" customHeight="false" outlineLevel="0" collapsed="false">
      <c r="A207" s="2" t="s">
        <v>817</v>
      </c>
      <c r="B207" s="2" t="s">
        <v>234</v>
      </c>
      <c r="C207" s="2" t="s">
        <v>818</v>
      </c>
      <c r="D207" s="3" t="s">
        <v>819</v>
      </c>
      <c r="E207" s="2" t="s">
        <v>121</v>
      </c>
      <c r="F207" s="2" t="s">
        <v>35</v>
      </c>
      <c r="G207" s="2" t="n">
        <v>2028</v>
      </c>
      <c r="H207" s="2" t="s">
        <v>70</v>
      </c>
      <c r="I207" s="2" t="s">
        <v>36</v>
      </c>
      <c r="J207" s="4" t="n">
        <v>46261</v>
      </c>
    </row>
    <row r="208" customFormat="false" ht="15" hidden="false" customHeight="false" outlineLevel="0" collapsed="false">
      <c r="A208" s="2" t="s">
        <v>820</v>
      </c>
      <c r="B208" s="2" t="s">
        <v>821</v>
      </c>
      <c r="C208" s="2" t="s">
        <v>822</v>
      </c>
      <c r="D208" s="3" t="s">
        <v>823</v>
      </c>
      <c r="E208" s="2" t="s">
        <v>112</v>
      </c>
      <c r="F208" s="2" t="s">
        <v>41</v>
      </c>
      <c r="G208" s="2" t="n">
        <v>2026</v>
      </c>
      <c r="H208" s="2" t="s">
        <v>70</v>
      </c>
      <c r="I208" s="2" t="s">
        <v>43</v>
      </c>
      <c r="J208" s="4" t="n">
        <v>46266</v>
      </c>
    </row>
    <row r="209" customFormat="false" ht="15" hidden="false" customHeight="false" outlineLevel="0" collapsed="false">
      <c r="A209" s="2" t="s">
        <v>824</v>
      </c>
      <c r="B209" s="2" t="s">
        <v>825</v>
      </c>
      <c r="C209" s="2" t="s">
        <v>826</v>
      </c>
      <c r="D209" s="3" t="s">
        <v>827</v>
      </c>
      <c r="E209" s="2" t="s">
        <v>75</v>
      </c>
      <c r="F209" s="2" t="s">
        <v>85</v>
      </c>
      <c r="G209" s="2" t="n">
        <v>2025</v>
      </c>
      <c r="H209" s="2" t="s">
        <v>24</v>
      </c>
      <c r="I209" s="2" t="s">
        <v>36</v>
      </c>
      <c r="J209" s="4" t="n">
        <v>46276</v>
      </c>
    </row>
    <row r="210" customFormat="false" ht="15" hidden="false" customHeight="false" outlineLevel="0" collapsed="false">
      <c r="A210" s="2" t="s">
        <v>828</v>
      </c>
      <c r="B210" s="2" t="s">
        <v>829</v>
      </c>
      <c r="C210" s="2" t="s">
        <v>830</v>
      </c>
      <c r="D210" s="3" t="s">
        <v>831</v>
      </c>
      <c r="E210" s="2" t="s">
        <v>169</v>
      </c>
      <c r="F210" s="2" t="s">
        <v>85</v>
      </c>
      <c r="G210" s="2" t="n">
        <v>2025</v>
      </c>
      <c r="H210" s="2" t="s">
        <v>76</v>
      </c>
      <c r="I210" s="2" t="s">
        <v>43</v>
      </c>
      <c r="J210" s="4" t="n">
        <v>46258</v>
      </c>
    </row>
    <row r="211" customFormat="false" ht="15" hidden="false" customHeight="false" outlineLevel="0" collapsed="false">
      <c r="A211" s="2" t="s">
        <v>832</v>
      </c>
      <c r="B211" s="2" t="s">
        <v>833</v>
      </c>
      <c r="C211" s="2" t="s">
        <v>834</v>
      </c>
      <c r="D211" s="3" t="s">
        <v>835</v>
      </c>
      <c r="E211" s="2" t="s">
        <v>29</v>
      </c>
      <c r="F211" s="2" t="s">
        <v>85</v>
      </c>
      <c r="G211" s="2" t="n">
        <v>2028</v>
      </c>
      <c r="H211" s="2" t="s">
        <v>49</v>
      </c>
      <c r="I211" s="2" t="s">
        <v>36</v>
      </c>
      <c r="J211" s="4" t="n">
        <v>46215</v>
      </c>
    </row>
    <row r="212" customFormat="false" ht="15" hidden="false" customHeight="false" outlineLevel="0" collapsed="false">
      <c r="A212" s="2" t="s">
        <v>836</v>
      </c>
      <c r="B212" s="2" t="s">
        <v>837</v>
      </c>
      <c r="C212" s="2" t="s">
        <v>838</v>
      </c>
      <c r="D212" s="3" t="s">
        <v>839</v>
      </c>
      <c r="E212" s="2" t="s">
        <v>121</v>
      </c>
      <c r="F212" s="2" t="s">
        <v>41</v>
      </c>
      <c r="G212" s="2" t="n">
        <v>2027</v>
      </c>
      <c r="H212" s="2" t="s">
        <v>107</v>
      </c>
      <c r="I212" s="2" t="s">
        <v>36</v>
      </c>
      <c r="J212" s="4" t="n">
        <v>46230</v>
      </c>
    </row>
    <row r="213" customFormat="false" ht="15" hidden="false" customHeight="false" outlineLevel="0" collapsed="false">
      <c r="A213" s="2" t="s">
        <v>840</v>
      </c>
      <c r="B213" s="2" t="s">
        <v>287</v>
      </c>
      <c r="C213" s="2" t="s">
        <v>841</v>
      </c>
      <c r="D213" s="3" t="s">
        <v>842</v>
      </c>
      <c r="E213" s="2" t="s">
        <v>112</v>
      </c>
      <c r="F213" s="2" t="s">
        <v>41</v>
      </c>
      <c r="G213" s="2" t="n">
        <v>2026</v>
      </c>
      <c r="H213" s="2" t="s">
        <v>42</v>
      </c>
      <c r="I213" s="2" t="s">
        <v>17</v>
      </c>
      <c r="J213" s="4" t="n">
        <v>46290</v>
      </c>
    </row>
    <row r="214" customFormat="false" ht="15" hidden="false" customHeight="false" outlineLevel="0" collapsed="false">
      <c r="A214" s="2" t="s">
        <v>843</v>
      </c>
      <c r="B214" s="2" t="s">
        <v>844</v>
      </c>
      <c r="C214" s="2" t="s">
        <v>845</v>
      </c>
      <c r="D214" s="3" t="s">
        <v>846</v>
      </c>
      <c r="E214" s="2" t="s">
        <v>169</v>
      </c>
      <c r="F214" s="2" t="s">
        <v>64</v>
      </c>
      <c r="G214" s="2" t="n">
        <v>2028</v>
      </c>
      <c r="H214" s="2" t="s">
        <v>76</v>
      </c>
      <c r="I214" s="2" t="s">
        <v>43</v>
      </c>
      <c r="J214" s="4" t="n">
        <v>46245</v>
      </c>
    </row>
    <row r="215" customFormat="false" ht="15" hidden="false" customHeight="false" outlineLevel="0" collapsed="false">
      <c r="A215" s="2" t="s">
        <v>847</v>
      </c>
      <c r="B215" s="2" t="s">
        <v>609</v>
      </c>
      <c r="C215" s="2" t="s">
        <v>848</v>
      </c>
      <c r="D215" s="3" t="s">
        <v>849</v>
      </c>
      <c r="E215" s="2" t="s">
        <v>112</v>
      </c>
      <c r="F215" s="2" t="s">
        <v>85</v>
      </c>
      <c r="G215" s="2" t="n">
        <v>2025</v>
      </c>
      <c r="H215" s="2" t="s">
        <v>42</v>
      </c>
      <c r="I215" s="2" t="s">
        <v>43</v>
      </c>
      <c r="J215" s="4" t="n">
        <v>46215</v>
      </c>
    </row>
    <row r="216" customFormat="false" ht="15" hidden="false" customHeight="false" outlineLevel="0" collapsed="false">
      <c r="A216" s="2" t="s">
        <v>850</v>
      </c>
      <c r="B216" s="2" t="s">
        <v>590</v>
      </c>
      <c r="C216" s="2" t="s">
        <v>851</v>
      </c>
      <c r="D216" s="3" t="s">
        <v>852</v>
      </c>
      <c r="E216" s="2" t="s">
        <v>75</v>
      </c>
      <c r="F216" s="2" t="s">
        <v>15</v>
      </c>
      <c r="G216" s="2" t="n">
        <v>2026</v>
      </c>
      <c r="H216" s="2" t="s">
        <v>70</v>
      </c>
      <c r="I216" s="2" t="s">
        <v>43</v>
      </c>
      <c r="J216" s="4" t="n">
        <v>46272</v>
      </c>
    </row>
    <row r="217" customFormat="false" ht="15" hidden="false" customHeight="false" outlineLevel="0" collapsed="false">
      <c r="A217" s="2" t="s">
        <v>853</v>
      </c>
      <c r="B217" s="2" t="s">
        <v>854</v>
      </c>
      <c r="C217" s="2" t="s">
        <v>855</v>
      </c>
      <c r="D217" s="3" t="s">
        <v>856</v>
      </c>
      <c r="E217" s="2" t="s">
        <v>112</v>
      </c>
      <c r="F217" s="2" t="s">
        <v>59</v>
      </c>
      <c r="G217" s="2" t="n">
        <v>2026</v>
      </c>
      <c r="H217" s="2" t="s">
        <v>76</v>
      </c>
      <c r="I217" s="2" t="s">
        <v>43</v>
      </c>
      <c r="J217" s="4" t="n">
        <v>46210</v>
      </c>
    </row>
    <row r="218" customFormat="false" ht="15" hidden="false" customHeight="false" outlineLevel="0" collapsed="false">
      <c r="A218" s="2" t="s">
        <v>857</v>
      </c>
      <c r="B218" s="2" t="s">
        <v>858</v>
      </c>
      <c r="C218" s="2" t="s">
        <v>859</v>
      </c>
      <c r="D218" s="3" t="s">
        <v>860</v>
      </c>
      <c r="E218" s="2" t="s">
        <v>48</v>
      </c>
      <c r="F218" s="2" t="s">
        <v>41</v>
      </c>
      <c r="G218" s="2" t="n">
        <v>2027</v>
      </c>
      <c r="H218" s="2" t="s">
        <v>16</v>
      </c>
      <c r="I218" s="2" t="s">
        <v>43</v>
      </c>
      <c r="J218" s="4" t="n">
        <v>46292</v>
      </c>
    </row>
    <row r="219" customFormat="false" ht="15" hidden="false" customHeight="false" outlineLevel="0" collapsed="false">
      <c r="A219" s="2" t="s">
        <v>861</v>
      </c>
      <c r="B219" s="2" t="s">
        <v>670</v>
      </c>
      <c r="C219" s="2" t="s">
        <v>862</v>
      </c>
      <c r="D219" s="3" t="s">
        <v>863</v>
      </c>
      <c r="E219" s="2" t="s">
        <v>22</v>
      </c>
      <c r="F219" s="2" t="s">
        <v>23</v>
      </c>
      <c r="G219" s="2" t="n">
        <v>2025</v>
      </c>
      <c r="H219" s="2" t="s">
        <v>49</v>
      </c>
      <c r="I219" s="2" t="s">
        <v>36</v>
      </c>
      <c r="J219" s="4" t="n">
        <v>46284</v>
      </c>
    </row>
    <row r="220" customFormat="false" ht="15" hidden="false" customHeight="false" outlineLevel="0" collapsed="false">
      <c r="A220" s="2" t="s">
        <v>864</v>
      </c>
      <c r="B220" s="2" t="s">
        <v>440</v>
      </c>
      <c r="C220" s="2" t="s">
        <v>865</v>
      </c>
      <c r="D220" s="3" t="s">
        <v>866</v>
      </c>
      <c r="E220" s="2" t="s">
        <v>106</v>
      </c>
      <c r="F220" s="2" t="s">
        <v>64</v>
      </c>
      <c r="G220" s="2" t="n">
        <v>2026</v>
      </c>
      <c r="H220" s="2" t="s">
        <v>76</v>
      </c>
      <c r="I220" s="2" t="s">
        <v>17</v>
      </c>
      <c r="J220" s="4" t="n">
        <v>46260</v>
      </c>
    </row>
    <row r="221" customFormat="false" ht="15" hidden="false" customHeight="false" outlineLevel="0" collapsed="false">
      <c r="A221" s="2" t="s">
        <v>867</v>
      </c>
      <c r="B221" s="2" t="s">
        <v>868</v>
      </c>
      <c r="C221" s="2" t="s">
        <v>869</v>
      </c>
      <c r="D221" s="3" t="s">
        <v>870</v>
      </c>
      <c r="E221" s="2" t="s">
        <v>121</v>
      </c>
      <c r="F221" s="2" t="s">
        <v>64</v>
      </c>
      <c r="G221" s="2" t="n">
        <v>2026</v>
      </c>
      <c r="H221" s="2" t="s">
        <v>16</v>
      </c>
      <c r="I221" s="2" t="s">
        <v>36</v>
      </c>
      <c r="J221" s="4" t="n">
        <v>46217</v>
      </c>
    </row>
    <row r="222" customFormat="false" ht="15" hidden="false" customHeight="false" outlineLevel="0" collapsed="false">
      <c r="A222" s="2" t="s">
        <v>871</v>
      </c>
      <c r="B222" s="2" t="s">
        <v>45</v>
      </c>
      <c r="C222" s="2" t="s">
        <v>872</v>
      </c>
      <c r="D222" s="3" t="s">
        <v>873</v>
      </c>
      <c r="E222" s="2" t="s">
        <v>22</v>
      </c>
      <c r="F222" s="2" t="s">
        <v>59</v>
      </c>
      <c r="G222" s="2" t="n">
        <v>2025</v>
      </c>
      <c r="H222" s="2" t="s">
        <v>49</v>
      </c>
      <c r="I222" s="2" t="s">
        <v>17</v>
      </c>
      <c r="J222" s="4" t="n">
        <v>46225</v>
      </c>
    </row>
    <row r="223" customFormat="false" ht="15" hidden="false" customHeight="false" outlineLevel="0" collapsed="false">
      <c r="A223" s="2" t="s">
        <v>874</v>
      </c>
      <c r="B223" s="2" t="s">
        <v>875</v>
      </c>
      <c r="C223" s="2" t="s">
        <v>876</v>
      </c>
      <c r="D223" s="3" t="s">
        <v>877</v>
      </c>
      <c r="E223" s="2" t="s">
        <v>69</v>
      </c>
      <c r="F223" s="2" t="s">
        <v>15</v>
      </c>
      <c r="G223" s="2" t="n">
        <v>2027</v>
      </c>
      <c r="H223" s="2" t="s">
        <v>24</v>
      </c>
      <c r="I223" s="2" t="s">
        <v>36</v>
      </c>
      <c r="J223" s="4" t="n">
        <v>46244</v>
      </c>
    </row>
    <row r="224" customFormat="false" ht="15" hidden="false" customHeight="false" outlineLevel="0" collapsed="false">
      <c r="A224" s="2" t="s">
        <v>878</v>
      </c>
      <c r="B224" s="2" t="s">
        <v>833</v>
      </c>
      <c r="C224" s="2" t="s">
        <v>879</v>
      </c>
      <c r="D224" s="3" t="s">
        <v>880</v>
      </c>
      <c r="E224" s="2" t="s">
        <v>112</v>
      </c>
      <c r="F224" s="2" t="s">
        <v>85</v>
      </c>
      <c r="G224" s="2" t="n">
        <v>2026</v>
      </c>
      <c r="H224" s="2" t="s">
        <v>76</v>
      </c>
      <c r="I224" s="2" t="s">
        <v>43</v>
      </c>
      <c r="J224" s="4" t="n">
        <v>46288</v>
      </c>
    </row>
    <row r="225" customFormat="false" ht="15" hidden="false" customHeight="false" outlineLevel="0" collapsed="false">
      <c r="A225" s="2" t="s">
        <v>881</v>
      </c>
      <c r="B225" s="2" t="s">
        <v>682</v>
      </c>
      <c r="C225" s="2" t="s">
        <v>882</v>
      </c>
      <c r="D225" s="3" t="s">
        <v>883</v>
      </c>
      <c r="E225" s="2" t="s">
        <v>121</v>
      </c>
      <c r="F225" s="2" t="s">
        <v>23</v>
      </c>
      <c r="G225" s="2" t="n">
        <v>2028</v>
      </c>
      <c r="H225" s="2" t="s">
        <v>107</v>
      </c>
      <c r="I225" s="2" t="s">
        <v>36</v>
      </c>
      <c r="J225" s="4" t="n">
        <v>46285</v>
      </c>
    </row>
    <row r="226" customFormat="false" ht="15" hidden="false" customHeight="false" outlineLevel="0" collapsed="false">
      <c r="A226" s="2" t="s">
        <v>884</v>
      </c>
      <c r="B226" s="2" t="s">
        <v>825</v>
      </c>
      <c r="C226" s="2" t="s">
        <v>885</v>
      </c>
      <c r="D226" s="3" t="s">
        <v>886</v>
      </c>
      <c r="E226" s="2" t="s">
        <v>112</v>
      </c>
      <c r="F226" s="2" t="s">
        <v>59</v>
      </c>
      <c r="G226" s="2" t="n">
        <v>2028</v>
      </c>
      <c r="H226" s="2" t="s">
        <v>70</v>
      </c>
      <c r="I226" s="2" t="s">
        <v>43</v>
      </c>
      <c r="J226" s="4" t="n">
        <v>46213</v>
      </c>
    </row>
    <row r="227" customFormat="false" ht="15" hidden="false" customHeight="false" outlineLevel="0" collapsed="false">
      <c r="A227" s="2" t="s">
        <v>887</v>
      </c>
      <c r="B227" s="2" t="s">
        <v>109</v>
      </c>
      <c r="C227" s="2" t="s">
        <v>888</v>
      </c>
      <c r="D227" s="3" t="s">
        <v>889</v>
      </c>
      <c r="E227" s="2" t="s">
        <v>14</v>
      </c>
      <c r="F227" s="2" t="s">
        <v>41</v>
      </c>
      <c r="G227" s="2" t="n">
        <v>2025</v>
      </c>
      <c r="H227" s="2" t="s">
        <v>70</v>
      </c>
      <c r="I227" s="2" t="s">
        <v>17</v>
      </c>
      <c r="J227" s="4" t="n">
        <v>46255</v>
      </c>
    </row>
    <row r="228" customFormat="false" ht="15" hidden="false" customHeight="false" outlineLevel="0" collapsed="false">
      <c r="A228" s="2" t="s">
        <v>890</v>
      </c>
      <c r="B228" s="2" t="s">
        <v>513</v>
      </c>
      <c r="C228" s="2" t="s">
        <v>891</v>
      </c>
      <c r="D228" s="3" t="s">
        <v>892</v>
      </c>
      <c r="E228" s="2" t="s">
        <v>22</v>
      </c>
      <c r="F228" s="2" t="s">
        <v>59</v>
      </c>
      <c r="G228" s="2" t="n">
        <v>2028</v>
      </c>
      <c r="H228" s="2" t="s">
        <v>16</v>
      </c>
      <c r="I228" s="2" t="s">
        <v>43</v>
      </c>
      <c r="J228" s="4" t="n">
        <v>46254</v>
      </c>
    </row>
    <row r="229" customFormat="false" ht="15" hidden="false" customHeight="false" outlineLevel="0" collapsed="false">
      <c r="A229" s="2" t="s">
        <v>893</v>
      </c>
      <c r="B229" s="2" t="s">
        <v>894</v>
      </c>
      <c r="C229" s="2" t="s">
        <v>895</v>
      </c>
      <c r="D229" s="3" t="s">
        <v>896</v>
      </c>
      <c r="E229" s="2" t="s">
        <v>54</v>
      </c>
      <c r="F229" s="2" t="s">
        <v>41</v>
      </c>
      <c r="G229" s="2" t="n">
        <v>2027</v>
      </c>
      <c r="H229" s="2" t="s">
        <v>49</v>
      </c>
      <c r="I229" s="2" t="s">
        <v>43</v>
      </c>
      <c r="J229" s="4" t="n">
        <v>46288</v>
      </c>
    </row>
    <row r="230" customFormat="false" ht="15" hidden="false" customHeight="false" outlineLevel="0" collapsed="false">
      <c r="A230" s="2" t="s">
        <v>897</v>
      </c>
      <c r="B230" s="2" t="s">
        <v>898</v>
      </c>
      <c r="C230" s="2" t="s">
        <v>899</v>
      </c>
      <c r="D230" s="3" t="s">
        <v>900</v>
      </c>
      <c r="E230" s="2" t="s">
        <v>106</v>
      </c>
      <c r="F230" s="2" t="s">
        <v>41</v>
      </c>
      <c r="G230" s="2" t="n">
        <v>2025</v>
      </c>
      <c r="H230" s="2" t="s">
        <v>107</v>
      </c>
      <c r="I230" s="2" t="s">
        <v>36</v>
      </c>
      <c r="J230" s="4" t="n">
        <v>46238</v>
      </c>
    </row>
    <row r="231" customFormat="false" ht="15" hidden="false" customHeight="false" outlineLevel="0" collapsed="false">
      <c r="A231" s="2" t="s">
        <v>901</v>
      </c>
      <c r="B231" s="2" t="s">
        <v>575</v>
      </c>
      <c r="C231" s="2" t="s">
        <v>902</v>
      </c>
      <c r="D231" s="3" t="s">
        <v>903</v>
      </c>
      <c r="E231" s="2" t="s">
        <v>14</v>
      </c>
      <c r="F231" s="2" t="s">
        <v>15</v>
      </c>
      <c r="G231" s="2" t="n">
        <v>2025</v>
      </c>
      <c r="H231" s="2" t="s">
        <v>49</v>
      </c>
      <c r="I231" s="2" t="s">
        <v>36</v>
      </c>
      <c r="J231" s="4" t="n">
        <v>46269</v>
      </c>
    </row>
    <row r="232" customFormat="false" ht="15" hidden="false" customHeight="false" outlineLevel="0" collapsed="false">
      <c r="A232" s="2" t="s">
        <v>904</v>
      </c>
      <c r="B232" s="2" t="s">
        <v>905</v>
      </c>
      <c r="C232" s="2" t="s">
        <v>906</v>
      </c>
      <c r="D232" s="3" t="s">
        <v>907</v>
      </c>
      <c r="E232" s="2" t="s">
        <v>75</v>
      </c>
      <c r="F232" s="2" t="s">
        <v>85</v>
      </c>
      <c r="G232" s="2" t="n">
        <v>2028</v>
      </c>
      <c r="H232" s="2" t="s">
        <v>49</v>
      </c>
      <c r="I232" s="2" t="s">
        <v>43</v>
      </c>
      <c r="J232" s="4" t="n">
        <v>46205</v>
      </c>
    </row>
    <row r="233" customFormat="false" ht="15" hidden="false" customHeight="false" outlineLevel="0" collapsed="false">
      <c r="A233" s="2" t="s">
        <v>908</v>
      </c>
      <c r="B233" s="2" t="s">
        <v>909</v>
      </c>
      <c r="C233" s="2" t="s">
        <v>910</v>
      </c>
      <c r="D233" s="3" t="s">
        <v>911</v>
      </c>
      <c r="E233" s="2" t="s">
        <v>121</v>
      </c>
      <c r="F233" s="2" t="s">
        <v>35</v>
      </c>
      <c r="G233" s="2" t="n">
        <v>2025</v>
      </c>
      <c r="H233" s="2" t="s">
        <v>76</v>
      </c>
      <c r="I233" s="2" t="s">
        <v>17</v>
      </c>
      <c r="J233" s="4" t="n">
        <v>46244</v>
      </c>
    </row>
    <row r="234" customFormat="false" ht="15" hidden="false" customHeight="false" outlineLevel="0" collapsed="false">
      <c r="A234" s="2" t="s">
        <v>912</v>
      </c>
      <c r="B234" s="2" t="s">
        <v>913</v>
      </c>
      <c r="C234" s="2" t="s">
        <v>914</v>
      </c>
      <c r="D234" s="3" t="s">
        <v>915</v>
      </c>
      <c r="E234" s="2" t="s">
        <v>34</v>
      </c>
      <c r="F234" s="2" t="s">
        <v>35</v>
      </c>
      <c r="G234" s="2" t="n">
        <v>2028</v>
      </c>
      <c r="H234" s="2" t="s">
        <v>107</v>
      </c>
      <c r="I234" s="2" t="s">
        <v>36</v>
      </c>
      <c r="J234" s="4" t="n">
        <v>46243</v>
      </c>
    </row>
    <row r="235" customFormat="false" ht="15" hidden="false" customHeight="false" outlineLevel="0" collapsed="false">
      <c r="A235" s="2" t="s">
        <v>916</v>
      </c>
      <c r="B235" s="2" t="s">
        <v>444</v>
      </c>
      <c r="C235" s="2" t="s">
        <v>917</v>
      </c>
      <c r="D235" s="3" t="s">
        <v>918</v>
      </c>
      <c r="E235" s="2" t="s">
        <v>29</v>
      </c>
      <c r="F235" s="2" t="s">
        <v>64</v>
      </c>
      <c r="G235" s="2" t="n">
        <v>2025</v>
      </c>
      <c r="H235" s="2" t="s">
        <v>107</v>
      </c>
      <c r="I235" s="2" t="s">
        <v>17</v>
      </c>
      <c r="J235" s="4" t="n">
        <v>46229</v>
      </c>
    </row>
    <row r="236" customFormat="false" ht="15" hidden="false" customHeight="false" outlineLevel="0" collapsed="false">
      <c r="A236" s="2" t="s">
        <v>919</v>
      </c>
      <c r="B236" s="2" t="s">
        <v>920</v>
      </c>
      <c r="C236" s="2" t="s">
        <v>921</v>
      </c>
      <c r="D236" s="3" t="s">
        <v>922</v>
      </c>
      <c r="E236" s="2" t="s">
        <v>54</v>
      </c>
      <c r="F236" s="2" t="s">
        <v>59</v>
      </c>
      <c r="G236" s="2" t="n">
        <v>2026</v>
      </c>
      <c r="H236" s="2" t="s">
        <v>42</v>
      </c>
      <c r="I236" s="2" t="s">
        <v>43</v>
      </c>
      <c r="J236" s="4" t="n">
        <v>46243</v>
      </c>
    </row>
    <row r="237" customFormat="false" ht="15" hidden="false" customHeight="false" outlineLevel="0" collapsed="false">
      <c r="A237" s="2" t="s">
        <v>923</v>
      </c>
      <c r="B237" s="2" t="s">
        <v>924</v>
      </c>
      <c r="C237" s="2" t="s">
        <v>925</v>
      </c>
      <c r="D237" s="3" t="s">
        <v>926</v>
      </c>
      <c r="E237" s="2" t="s">
        <v>48</v>
      </c>
      <c r="F237" s="2" t="s">
        <v>85</v>
      </c>
      <c r="G237" s="2" t="n">
        <v>2028</v>
      </c>
      <c r="H237" s="2" t="s">
        <v>16</v>
      </c>
      <c r="I237" s="2" t="s">
        <v>36</v>
      </c>
      <c r="J237" s="4" t="n">
        <v>46233</v>
      </c>
    </row>
    <row r="238" customFormat="false" ht="15" hidden="false" customHeight="false" outlineLevel="0" collapsed="false">
      <c r="A238" s="2" t="s">
        <v>927</v>
      </c>
      <c r="B238" s="2" t="s">
        <v>821</v>
      </c>
      <c r="C238" s="2" t="s">
        <v>928</v>
      </c>
      <c r="D238" s="3" t="s">
        <v>929</v>
      </c>
      <c r="E238" s="2" t="s">
        <v>69</v>
      </c>
      <c r="F238" s="2" t="s">
        <v>85</v>
      </c>
      <c r="G238" s="2" t="n">
        <v>2027</v>
      </c>
      <c r="H238" s="2" t="s">
        <v>107</v>
      </c>
      <c r="I238" s="2" t="s">
        <v>43</v>
      </c>
      <c r="J238" s="4" t="n">
        <v>46220</v>
      </c>
    </row>
    <row r="239" customFormat="false" ht="15" hidden="false" customHeight="false" outlineLevel="0" collapsed="false">
      <c r="A239" s="2" t="s">
        <v>930</v>
      </c>
      <c r="B239" s="2" t="s">
        <v>91</v>
      </c>
      <c r="C239" s="2" t="s">
        <v>931</v>
      </c>
      <c r="D239" s="3" t="s">
        <v>932</v>
      </c>
      <c r="E239" s="2" t="s">
        <v>54</v>
      </c>
      <c r="F239" s="2" t="s">
        <v>41</v>
      </c>
      <c r="G239" s="2" t="n">
        <v>2028</v>
      </c>
      <c r="H239" s="2" t="s">
        <v>16</v>
      </c>
      <c r="I239" s="2" t="s">
        <v>36</v>
      </c>
      <c r="J239" s="4" t="n">
        <v>46229</v>
      </c>
    </row>
    <row r="240" customFormat="false" ht="15" hidden="false" customHeight="false" outlineLevel="0" collapsed="false">
      <c r="A240" s="2" t="s">
        <v>933</v>
      </c>
      <c r="B240" s="2" t="s">
        <v>265</v>
      </c>
      <c r="C240" s="2" t="s">
        <v>934</v>
      </c>
      <c r="D240" s="3" t="s">
        <v>935</v>
      </c>
      <c r="E240" s="2" t="s">
        <v>69</v>
      </c>
      <c r="F240" s="2" t="s">
        <v>64</v>
      </c>
      <c r="G240" s="2" t="n">
        <v>2025</v>
      </c>
      <c r="H240" s="2" t="s">
        <v>49</v>
      </c>
      <c r="I240" s="2" t="s">
        <v>43</v>
      </c>
      <c r="J240" s="4" t="n">
        <v>46261</v>
      </c>
    </row>
    <row r="241" customFormat="false" ht="15" hidden="false" customHeight="false" outlineLevel="0" collapsed="false">
      <c r="A241" s="2" t="s">
        <v>936</v>
      </c>
      <c r="B241" s="2" t="s">
        <v>724</v>
      </c>
      <c r="C241" s="2" t="s">
        <v>937</v>
      </c>
      <c r="D241" s="3" t="s">
        <v>938</v>
      </c>
      <c r="E241" s="2" t="s">
        <v>106</v>
      </c>
      <c r="F241" s="2" t="s">
        <v>85</v>
      </c>
      <c r="G241" s="2" t="n">
        <v>2028</v>
      </c>
      <c r="H241" s="2" t="s">
        <v>70</v>
      </c>
      <c r="I241" s="2" t="s">
        <v>36</v>
      </c>
      <c r="J241" s="4" t="n">
        <v>46235</v>
      </c>
    </row>
    <row r="242" customFormat="false" ht="15" hidden="false" customHeight="false" outlineLevel="0" collapsed="false">
      <c r="A242" s="2" t="s">
        <v>939</v>
      </c>
      <c r="B242" s="2" t="s">
        <v>940</v>
      </c>
      <c r="C242" s="2" t="s">
        <v>941</v>
      </c>
      <c r="D242" s="3" t="s">
        <v>942</v>
      </c>
      <c r="E242" s="2" t="s">
        <v>121</v>
      </c>
      <c r="F242" s="2" t="s">
        <v>35</v>
      </c>
      <c r="G242" s="2" t="n">
        <v>2028</v>
      </c>
      <c r="H242" s="2" t="s">
        <v>107</v>
      </c>
      <c r="I242" s="2" t="s">
        <v>36</v>
      </c>
      <c r="J242" s="4" t="n">
        <v>46217</v>
      </c>
    </row>
    <row r="243" customFormat="false" ht="15" hidden="false" customHeight="false" outlineLevel="0" collapsed="false">
      <c r="A243" s="2" t="s">
        <v>943</v>
      </c>
      <c r="B243" s="2" t="s">
        <v>944</v>
      </c>
      <c r="C243" s="2" t="s">
        <v>945</v>
      </c>
      <c r="D243" s="3" t="s">
        <v>946</v>
      </c>
      <c r="E243" s="2" t="s">
        <v>54</v>
      </c>
      <c r="F243" s="2" t="s">
        <v>85</v>
      </c>
      <c r="G243" s="2" t="n">
        <v>2026</v>
      </c>
      <c r="H243" s="2" t="s">
        <v>16</v>
      </c>
      <c r="I243" s="2" t="s">
        <v>43</v>
      </c>
      <c r="J243" s="4" t="n">
        <v>46237</v>
      </c>
    </row>
    <row r="244" customFormat="false" ht="15" hidden="false" customHeight="false" outlineLevel="0" collapsed="false">
      <c r="A244" s="2" t="s">
        <v>947</v>
      </c>
      <c r="B244" s="2" t="s">
        <v>389</v>
      </c>
      <c r="C244" s="2" t="s">
        <v>948</v>
      </c>
      <c r="D244" s="3" t="s">
        <v>949</v>
      </c>
      <c r="E244" s="2" t="s">
        <v>106</v>
      </c>
      <c r="F244" s="2" t="s">
        <v>64</v>
      </c>
      <c r="G244" s="2" t="n">
        <v>2028</v>
      </c>
      <c r="H244" s="2" t="s">
        <v>49</v>
      </c>
      <c r="I244" s="2" t="s">
        <v>43</v>
      </c>
      <c r="J244" s="4" t="n">
        <v>46210</v>
      </c>
    </row>
    <row r="245" customFormat="false" ht="15" hidden="false" customHeight="false" outlineLevel="0" collapsed="false">
      <c r="A245" s="2" t="s">
        <v>950</v>
      </c>
      <c r="B245" s="2" t="s">
        <v>951</v>
      </c>
      <c r="C245" s="2" t="s">
        <v>952</v>
      </c>
      <c r="D245" s="3" t="s">
        <v>953</v>
      </c>
      <c r="E245" s="2" t="s">
        <v>106</v>
      </c>
      <c r="F245" s="2" t="s">
        <v>15</v>
      </c>
      <c r="G245" s="2" t="n">
        <v>2028</v>
      </c>
      <c r="H245" s="2" t="s">
        <v>16</v>
      </c>
      <c r="I245" s="2" t="s">
        <v>17</v>
      </c>
      <c r="J245" s="4" t="n">
        <v>46239</v>
      </c>
    </row>
    <row r="246" customFormat="false" ht="15" hidden="false" customHeight="false" outlineLevel="0" collapsed="false">
      <c r="A246" s="2" t="s">
        <v>954</v>
      </c>
      <c r="B246" s="2" t="s">
        <v>955</v>
      </c>
      <c r="C246" s="2" t="s">
        <v>956</v>
      </c>
      <c r="D246" s="3" t="s">
        <v>957</v>
      </c>
      <c r="E246" s="2" t="s">
        <v>75</v>
      </c>
      <c r="F246" s="2" t="s">
        <v>85</v>
      </c>
      <c r="G246" s="2" t="n">
        <v>2025</v>
      </c>
      <c r="H246" s="2" t="s">
        <v>76</v>
      </c>
      <c r="I246" s="2" t="s">
        <v>36</v>
      </c>
      <c r="J246" s="4" t="n">
        <v>46257</v>
      </c>
    </row>
    <row r="247" customFormat="false" ht="15" hidden="false" customHeight="false" outlineLevel="0" collapsed="false">
      <c r="A247" s="2" t="s">
        <v>958</v>
      </c>
      <c r="B247" s="2" t="s">
        <v>242</v>
      </c>
      <c r="C247" s="2" t="s">
        <v>959</v>
      </c>
      <c r="D247" s="3" t="s">
        <v>960</v>
      </c>
      <c r="E247" s="2" t="s">
        <v>22</v>
      </c>
      <c r="F247" s="2" t="s">
        <v>59</v>
      </c>
      <c r="G247" s="2" t="n">
        <v>2027</v>
      </c>
      <c r="H247" s="2" t="s">
        <v>16</v>
      </c>
      <c r="I247" s="2" t="s">
        <v>43</v>
      </c>
      <c r="J247" s="4" t="n">
        <v>46266</v>
      </c>
    </row>
    <row r="248" customFormat="false" ht="15" hidden="false" customHeight="false" outlineLevel="0" collapsed="false">
      <c r="A248" s="2" t="s">
        <v>961</v>
      </c>
      <c r="B248" s="2" t="s">
        <v>962</v>
      </c>
      <c r="C248" s="2" t="s">
        <v>963</v>
      </c>
      <c r="D248" s="3" t="s">
        <v>964</v>
      </c>
      <c r="E248" s="2" t="s">
        <v>22</v>
      </c>
      <c r="F248" s="2" t="s">
        <v>15</v>
      </c>
      <c r="G248" s="2" t="n">
        <v>2028</v>
      </c>
      <c r="H248" s="2" t="s">
        <v>107</v>
      </c>
      <c r="I248" s="2" t="s">
        <v>17</v>
      </c>
      <c r="J248" s="4" t="n">
        <v>46233</v>
      </c>
    </row>
    <row r="249" customFormat="false" ht="15" hidden="false" customHeight="false" outlineLevel="0" collapsed="false">
      <c r="A249" s="2" t="s">
        <v>965</v>
      </c>
      <c r="B249" s="2" t="s">
        <v>966</v>
      </c>
      <c r="C249" s="2" t="s">
        <v>967</v>
      </c>
      <c r="D249" s="3" t="s">
        <v>968</v>
      </c>
      <c r="E249" s="2" t="s">
        <v>121</v>
      </c>
      <c r="F249" s="2" t="s">
        <v>15</v>
      </c>
      <c r="G249" s="2" t="n">
        <v>2026</v>
      </c>
      <c r="H249" s="2" t="s">
        <v>24</v>
      </c>
      <c r="I249" s="2" t="s">
        <v>43</v>
      </c>
      <c r="J249" s="4" t="n">
        <v>46244</v>
      </c>
    </row>
    <row r="250" customFormat="false" ht="15" hidden="false" customHeight="false" outlineLevel="0" collapsed="false">
      <c r="A250" s="2" t="s">
        <v>969</v>
      </c>
      <c r="B250" s="2" t="s">
        <v>127</v>
      </c>
      <c r="C250" s="2" t="s">
        <v>970</v>
      </c>
      <c r="D250" s="3" t="s">
        <v>971</v>
      </c>
      <c r="E250" s="2" t="s">
        <v>75</v>
      </c>
      <c r="F250" s="2" t="s">
        <v>23</v>
      </c>
      <c r="G250" s="2" t="n">
        <v>2025</v>
      </c>
      <c r="H250" s="2" t="s">
        <v>107</v>
      </c>
      <c r="I250" s="2" t="s">
        <v>36</v>
      </c>
      <c r="J250" s="4" t="n">
        <v>46208</v>
      </c>
    </row>
    <row r="251" customFormat="false" ht="15" hidden="false" customHeight="false" outlineLevel="0" collapsed="false">
      <c r="A251" s="2" t="s">
        <v>972</v>
      </c>
      <c r="B251" s="2" t="s">
        <v>973</v>
      </c>
      <c r="C251" s="2" t="s">
        <v>974</v>
      </c>
      <c r="D251" s="3" t="s">
        <v>975</v>
      </c>
      <c r="E251" s="2" t="s">
        <v>121</v>
      </c>
      <c r="F251" s="2" t="s">
        <v>15</v>
      </c>
      <c r="G251" s="2" t="n">
        <v>2026</v>
      </c>
      <c r="H251" s="2" t="s">
        <v>24</v>
      </c>
      <c r="I251" s="2" t="s">
        <v>17</v>
      </c>
      <c r="J251" s="4" t="n">
        <v>46247</v>
      </c>
    </row>
    <row r="252" customFormat="false" ht="15" hidden="false" customHeight="false" outlineLevel="0" collapsed="false">
      <c r="A252" s="2" t="s">
        <v>976</v>
      </c>
      <c r="B252" s="2" t="s">
        <v>464</v>
      </c>
      <c r="C252" s="2" t="s">
        <v>977</v>
      </c>
      <c r="D252" s="3" t="s">
        <v>978</v>
      </c>
      <c r="E252" s="2" t="s">
        <v>48</v>
      </c>
      <c r="F252" s="2" t="s">
        <v>23</v>
      </c>
      <c r="G252" s="2" t="n">
        <v>2027</v>
      </c>
      <c r="H252" s="2" t="s">
        <v>49</v>
      </c>
      <c r="I252" s="2" t="s">
        <v>36</v>
      </c>
      <c r="J252" s="4" t="n">
        <v>46288</v>
      </c>
    </row>
    <row r="253" customFormat="false" ht="15" hidden="false" customHeight="false" outlineLevel="0" collapsed="false">
      <c r="A253" s="2" t="s">
        <v>979</v>
      </c>
      <c r="B253" s="2" t="s">
        <v>980</v>
      </c>
      <c r="C253" s="2" t="s">
        <v>981</v>
      </c>
      <c r="D253" s="3" t="s">
        <v>982</v>
      </c>
      <c r="E253" s="2" t="s">
        <v>69</v>
      </c>
      <c r="F253" s="2" t="s">
        <v>59</v>
      </c>
      <c r="G253" s="2" t="n">
        <v>2028</v>
      </c>
      <c r="H253" s="2" t="s">
        <v>24</v>
      </c>
      <c r="I253" s="2" t="s">
        <v>36</v>
      </c>
      <c r="J253" s="4" t="n">
        <v>46279</v>
      </c>
    </row>
    <row r="254" customFormat="false" ht="15" hidden="false" customHeight="false" outlineLevel="0" collapsed="false">
      <c r="A254" s="2" t="s">
        <v>983</v>
      </c>
      <c r="B254" s="2" t="s">
        <v>984</v>
      </c>
      <c r="C254" s="2" t="s">
        <v>985</v>
      </c>
      <c r="D254" s="3" t="s">
        <v>986</v>
      </c>
      <c r="E254" s="2" t="s">
        <v>69</v>
      </c>
      <c r="F254" s="2" t="s">
        <v>59</v>
      </c>
      <c r="G254" s="2" t="n">
        <v>2026</v>
      </c>
      <c r="H254" s="2" t="s">
        <v>107</v>
      </c>
      <c r="I254" s="2" t="s">
        <v>43</v>
      </c>
      <c r="J254" s="4" t="n">
        <v>46244</v>
      </c>
    </row>
    <row r="255" customFormat="false" ht="15" hidden="false" customHeight="false" outlineLevel="0" collapsed="false">
      <c r="A255" s="2" t="s">
        <v>987</v>
      </c>
      <c r="B255" s="2" t="s">
        <v>230</v>
      </c>
      <c r="C255" s="2" t="s">
        <v>988</v>
      </c>
      <c r="D255" s="3" t="s">
        <v>989</v>
      </c>
      <c r="E255" s="2" t="s">
        <v>14</v>
      </c>
      <c r="F255" s="2" t="s">
        <v>64</v>
      </c>
      <c r="G255" s="2" t="n">
        <v>2025</v>
      </c>
      <c r="H255" s="2" t="s">
        <v>16</v>
      </c>
      <c r="I255" s="2" t="s">
        <v>43</v>
      </c>
      <c r="J255" s="4" t="n">
        <v>46215</v>
      </c>
    </row>
    <row r="256" customFormat="false" ht="15" hidden="false" customHeight="false" outlineLevel="0" collapsed="false">
      <c r="A256" s="2" t="s">
        <v>990</v>
      </c>
      <c r="B256" s="2" t="s">
        <v>991</v>
      </c>
      <c r="C256" s="2" t="s">
        <v>992</v>
      </c>
      <c r="D256" s="3" t="s">
        <v>993</v>
      </c>
      <c r="E256" s="2" t="s">
        <v>48</v>
      </c>
      <c r="F256" s="2" t="s">
        <v>85</v>
      </c>
      <c r="G256" s="2" t="n">
        <v>2026</v>
      </c>
      <c r="H256" s="2" t="s">
        <v>49</v>
      </c>
      <c r="I256" s="2" t="s">
        <v>43</v>
      </c>
      <c r="J256" s="4" t="n">
        <v>46225</v>
      </c>
    </row>
    <row r="257" customFormat="false" ht="15" hidden="false" customHeight="false" outlineLevel="0" collapsed="false">
      <c r="A257" s="2" t="s">
        <v>994</v>
      </c>
      <c r="B257" s="2" t="s">
        <v>995</v>
      </c>
      <c r="C257" s="2" t="s">
        <v>996</v>
      </c>
      <c r="D257" s="3" t="s">
        <v>997</v>
      </c>
      <c r="E257" s="2" t="s">
        <v>121</v>
      </c>
      <c r="F257" s="2" t="s">
        <v>64</v>
      </c>
      <c r="G257" s="2" t="n">
        <v>2025</v>
      </c>
      <c r="H257" s="2" t="s">
        <v>70</v>
      </c>
      <c r="I257" s="2" t="s">
        <v>17</v>
      </c>
      <c r="J257" s="4" t="n">
        <v>46208</v>
      </c>
    </row>
    <row r="258" customFormat="false" ht="15" hidden="false" customHeight="false" outlineLevel="0" collapsed="false">
      <c r="A258" s="2" t="s">
        <v>998</v>
      </c>
      <c r="B258" s="2" t="s">
        <v>261</v>
      </c>
      <c r="C258" s="2" t="s">
        <v>999</v>
      </c>
      <c r="D258" s="3" t="s">
        <v>1000</v>
      </c>
      <c r="E258" s="2" t="s">
        <v>121</v>
      </c>
      <c r="F258" s="2" t="s">
        <v>59</v>
      </c>
      <c r="G258" s="2" t="n">
        <v>2025</v>
      </c>
      <c r="H258" s="2" t="s">
        <v>107</v>
      </c>
      <c r="I258" s="2" t="s">
        <v>17</v>
      </c>
      <c r="J258" s="4" t="n">
        <v>46265</v>
      </c>
    </row>
    <row r="259" customFormat="false" ht="15" hidden="false" customHeight="false" outlineLevel="0" collapsed="false">
      <c r="A259" s="2" t="s">
        <v>1001</v>
      </c>
      <c r="B259" s="2" t="s">
        <v>109</v>
      </c>
      <c r="C259" s="2" t="s">
        <v>1002</v>
      </c>
      <c r="D259" s="3" t="s">
        <v>1003</v>
      </c>
      <c r="E259" s="2" t="s">
        <v>54</v>
      </c>
      <c r="F259" s="2" t="s">
        <v>35</v>
      </c>
      <c r="G259" s="2" t="n">
        <v>2025</v>
      </c>
      <c r="H259" s="2" t="s">
        <v>107</v>
      </c>
      <c r="I259" s="2" t="s">
        <v>17</v>
      </c>
      <c r="J259" s="4" t="n">
        <v>46274</v>
      </c>
    </row>
    <row r="260" customFormat="false" ht="15" hidden="false" customHeight="false" outlineLevel="0" collapsed="false">
      <c r="A260" s="2" t="s">
        <v>1004</v>
      </c>
      <c r="B260" s="2" t="s">
        <v>757</v>
      </c>
      <c r="C260" s="2" t="s">
        <v>1005</v>
      </c>
      <c r="D260" s="3" t="s">
        <v>1006</v>
      </c>
      <c r="E260" s="2" t="s">
        <v>106</v>
      </c>
      <c r="F260" s="2" t="s">
        <v>23</v>
      </c>
      <c r="G260" s="2" t="n">
        <v>2028</v>
      </c>
      <c r="H260" s="2" t="s">
        <v>42</v>
      </c>
      <c r="I260" s="2" t="s">
        <v>43</v>
      </c>
      <c r="J260" s="4" t="n">
        <v>46288</v>
      </c>
    </row>
    <row r="261" customFormat="false" ht="15" hidden="false" customHeight="false" outlineLevel="0" collapsed="false">
      <c r="A261" s="2" t="s">
        <v>1007</v>
      </c>
      <c r="B261" s="2" t="s">
        <v>641</v>
      </c>
      <c r="C261" s="2" t="s">
        <v>1008</v>
      </c>
      <c r="D261" s="3" t="s">
        <v>1009</v>
      </c>
      <c r="E261" s="2" t="s">
        <v>54</v>
      </c>
      <c r="F261" s="2" t="s">
        <v>23</v>
      </c>
      <c r="G261" s="2" t="n">
        <v>2027</v>
      </c>
      <c r="H261" s="2" t="s">
        <v>49</v>
      </c>
      <c r="I261" s="2" t="s">
        <v>43</v>
      </c>
      <c r="J261" s="4" t="n">
        <v>46253</v>
      </c>
    </row>
    <row r="262" customFormat="false" ht="15" hidden="false" customHeight="false" outlineLevel="0" collapsed="false">
      <c r="A262" s="2" t="s">
        <v>1010</v>
      </c>
      <c r="B262" s="2" t="s">
        <v>1011</v>
      </c>
      <c r="C262" s="2" t="s">
        <v>1012</v>
      </c>
      <c r="D262" s="3" t="s">
        <v>1013</v>
      </c>
      <c r="E262" s="2" t="s">
        <v>106</v>
      </c>
      <c r="F262" s="2" t="s">
        <v>85</v>
      </c>
      <c r="G262" s="2" t="n">
        <v>2026</v>
      </c>
      <c r="H262" s="2" t="s">
        <v>70</v>
      </c>
      <c r="I262" s="2" t="s">
        <v>17</v>
      </c>
      <c r="J262" s="4" t="n">
        <v>46293</v>
      </c>
    </row>
    <row r="263" customFormat="false" ht="15" hidden="false" customHeight="false" outlineLevel="0" collapsed="false">
      <c r="A263" s="2" t="s">
        <v>1014</v>
      </c>
      <c r="B263" s="2" t="s">
        <v>1015</v>
      </c>
      <c r="C263" s="2" t="s">
        <v>1016</v>
      </c>
      <c r="D263" s="3" t="s">
        <v>1017</v>
      </c>
      <c r="E263" s="2" t="s">
        <v>34</v>
      </c>
      <c r="F263" s="2" t="s">
        <v>15</v>
      </c>
      <c r="G263" s="2" t="n">
        <v>2026</v>
      </c>
      <c r="H263" s="2" t="s">
        <v>16</v>
      </c>
      <c r="I263" s="2" t="s">
        <v>43</v>
      </c>
      <c r="J263" s="4" t="n">
        <v>46257</v>
      </c>
    </row>
    <row r="264" customFormat="false" ht="15" hidden="false" customHeight="false" outlineLevel="0" collapsed="false">
      <c r="A264" s="2" t="s">
        <v>1018</v>
      </c>
      <c r="B264" s="2" t="s">
        <v>1019</v>
      </c>
      <c r="C264" s="2" t="s">
        <v>1020</v>
      </c>
      <c r="D264" s="3" t="s">
        <v>1021</v>
      </c>
      <c r="E264" s="2" t="s">
        <v>48</v>
      </c>
      <c r="F264" s="2" t="s">
        <v>35</v>
      </c>
      <c r="G264" s="2" t="n">
        <v>2027</v>
      </c>
      <c r="H264" s="2" t="s">
        <v>107</v>
      </c>
      <c r="I264" s="2" t="s">
        <v>36</v>
      </c>
      <c r="J264" s="4" t="n">
        <v>46228</v>
      </c>
    </row>
    <row r="265" customFormat="false" ht="15" hidden="false" customHeight="false" outlineLevel="0" collapsed="false">
      <c r="A265" s="2" t="s">
        <v>1022</v>
      </c>
      <c r="B265" s="2" t="s">
        <v>436</v>
      </c>
      <c r="C265" s="2" t="s">
        <v>1023</v>
      </c>
      <c r="D265" s="3" t="s">
        <v>1024</v>
      </c>
      <c r="E265" s="2" t="s">
        <v>34</v>
      </c>
      <c r="F265" s="2" t="s">
        <v>15</v>
      </c>
      <c r="G265" s="2" t="n">
        <v>2028</v>
      </c>
      <c r="H265" s="2" t="s">
        <v>16</v>
      </c>
      <c r="I265" s="2" t="s">
        <v>43</v>
      </c>
      <c r="J265" s="4" t="n">
        <v>46275</v>
      </c>
    </row>
    <row r="266" customFormat="false" ht="15" hidden="false" customHeight="false" outlineLevel="0" collapsed="false">
      <c r="A266" s="2" t="s">
        <v>1025</v>
      </c>
      <c r="B266" s="2" t="s">
        <v>468</v>
      </c>
      <c r="C266" s="2" t="s">
        <v>1026</v>
      </c>
      <c r="D266" s="3" t="s">
        <v>1027</v>
      </c>
      <c r="E266" s="2" t="s">
        <v>169</v>
      </c>
      <c r="F266" s="2" t="s">
        <v>85</v>
      </c>
      <c r="G266" s="2" t="n">
        <v>2027</v>
      </c>
      <c r="H266" s="2" t="s">
        <v>76</v>
      </c>
      <c r="I266" s="2" t="s">
        <v>43</v>
      </c>
      <c r="J266" s="4" t="n">
        <v>46279</v>
      </c>
    </row>
    <row r="267" customFormat="false" ht="15" hidden="false" customHeight="false" outlineLevel="0" collapsed="false">
      <c r="A267" s="2" t="s">
        <v>1028</v>
      </c>
      <c r="B267" s="2" t="s">
        <v>1029</v>
      </c>
      <c r="C267" s="2" t="s">
        <v>1030</v>
      </c>
      <c r="D267" s="3" t="s">
        <v>1031</v>
      </c>
      <c r="E267" s="2" t="s">
        <v>29</v>
      </c>
      <c r="F267" s="2" t="s">
        <v>64</v>
      </c>
      <c r="G267" s="2" t="n">
        <v>2026</v>
      </c>
      <c r="H267" s="2" t="s">
        <v>16</v>
      </c>
      <c r="I267" s="2" t="s">
        <v>36</v>
      </c>
      <c r="J267" s="4" t="n">
        <v>46277</v>
      </c>
    </row>
    <row r="268" customFormat="false" ht="15" hidden="false" customHeight="false" outlineLevel="0" collapsed="false">
      <c r="A268" s="2" t="s">
        <v>1032</v>
      </c>
      <c r="B268" s="2" t="s">
        <v>1033</v>
      </c>
      <c r="C268" s="2" t="s">
        <v>1034</v>
      </c>
      <c r="D268" s="3" t="s">
        <v>1035</v>
      </c>
      <c r="E268" s="2" t="s">
        <v>54</v>
      </c>
      <c r="F268" s="2" t="s">
        <v>85</v>
      </c>
      <c r="G268" s="2" t="n">
        <v>2025</v>
      </c>
      <c r="H268" s="2" t="s">
        <v>24</v>
      </c>
      <c r="I268" s="2" t="s">
        <v>17</v>
      </c>
      <c r="J268" s="4" t="n">
        <v>46251</v>
      </c>
    </row>
    <row r="269" customFormat="false" ht="15" hidden="false" customHeight="false" outlineLevel="0" collapsed="false">
      <c r="A269" s="2" t="s">
        <v>1036</v>
      </c>
      <c r="B269" s="2" t="s">
        <v>1037</v>
      </c>
      <c r="C269" s="2" t="s">
        <v>1038</v>
      </c>
      <c r="D269" s="3" t="s">
        <v>1039</v>
      </c>
      <c r="E269" s="2" t="s">
        <v>106</v>
      </c>
      <c r="F269" s="2" t="s">
        <v>64</v>
      </c>
      <c r="G269" s="2" t="n">
        <v>2028</v>
      </c>
      <c r="H269" s="2" t="s">
        <v>24</v>
      </c>
      <c r="I269" s="2" t="s">
        <v>36</v>
      </c>
      <c r="J269" s="4" t="n">
        <v>46260</v>
      </c>
    </row>
    <row r="270" customFormat="false" ht="15" hidden="false" customHeight="false" outlineLevel="0" collapsed="false">
      <c r="A270" s="2" t="s">
        <v>1040</v>
      </c>
      <c r="B270" s="2" t="s">
        <v>1041</v>
      </c>
      <c r="C270" s="2" t="s">
        <v>1042</v>
      </c>
      <c r="D270" s="3" t="s">
        <v>1043</v>
      </c>
      <c r="E270" s="2" t="s">
        <v>75</v>
      </c>
      <c r="F270" s="2" t="s">
        <v>15</v>
      </c>
      <c r="G270" s="2" t="n">
        <v>2025</v>
      </c>
      <c r="H270" s="2" t="s">
        <v>49</v>
      </c>
      <c r="I270" s="2" t="s">
        <v>17</v>
      </c>
      <c r="J270" s="4" t="n">
        <v>46269</v>
      </c>
    </row>
    <row r="271" customFormat="false" ht="15" hidden="false" customHeight="false" outlineLevel="0" collapsed="false">
      <c r="A271" s="2" t="s">
        <v>1044</v>
      </c>
      <c r="B271" s="2" t="s">
        <v>1041</v>
      </c>
      <c r="C271" s="2" t="s">
        <v>1045</v>
      </c>
      <c r="D271" s="3" t="s">
        <v>1046</v>
      </c>
      <c r="E271" s="2" t="s">
        <v>29</v>
      </c>
      <c r="F271" s="2" t="s">
        <v>85</v>
      </c>
      <c r="G271" s="2" t="n">
        <v>2028</v>
      </c>
      <c r="H271" s="2" t="s">
        <v>70</v>
      </c>
      <c r="I271" s="2" t="s">
        <v>43</v>
      </c>
      <c r="J271" s="4" t="n">
        <v>46235</v>
      </c>
    </row>
    <row r="272" customFormat="false" ht="15" hidden="false" customHeight="false" outlineLevel="0" collapsed="false">
      <c r="A272" s="2" t="s">
        <v>1047</v>
      </c>
      <c r="B272" s="2" t="s">
        <v>1048</v>
      </c>
      <c r="C272" s="2" t="s">
        <v>1049</v>
      </c>
      <c r="D272" s="3" t="s">
        <v>1050</v>
      </c>
      <c r="E272" s="2" t="s">
        <v>29</v>
      </c>
      <c r="F272" s="2" t="s">
        <v>41</v>
      </c>
      <c r="G272" s="2" t="n">
        <v>2026</v>
      </c>
      <c r="H272" s="2" t="s">
        <v>24</v>
      </c>
      <c r="I272" s="2" t="s">
        <v>43</v>
      </c>
      <c r="J272" s="4" t="n">
        <v>46234</v>
      </c>
    </row>
    <row r="273" customFormat="false" ht="15" hidden="false" customHeight="false" outlineLevel="0" collapsed="false">
      <c r="A273" s="2" t="s">
        <v>1051</v>
      </c>
      <c r="B273" s="2" t="s">
        <v>269</v>
      </c>
      <c r="C273" s="2" t="s">
        <v>1052</v>
      </c>
      <c r="D273" s="3" t="s">
        <v>1053</v>
      </c>
      <c r="E273" s="2" t="s">
        <v>22</v>
      </c>
      <c r="F273" s="2" t="s">
        <v>64</v>
      </c>
      <c r="G273" s="2" t="n">
        <v>2026</v>
      </c>
      <c r="H273" s="2" t="s">
        <v>42</v>
      </c>
      <c r="I273" s="2" t="s">
        <v>17</v>
      </c>
      <c r="J273" s="4" t="n">
        <v>46253</v>
      </c>
    </row>
    <row r="274" customFormat="false" ht="15" hidden="false" customHeight="false" outlineLevel="0" collapsed="false">
      <c r="A274" s="2" t="s">
        <v>1054</v>
      </c>
      <c r="B274" s="2" t="s">
        <v>509</v>
      </c>
      <c r="C274" s="2" t="s">
        <v>1055</v>
      </c>
      <c r="D274" s="3" t="s">
        <v>1056</v>
      </c>
      <c r="E274" s="2" t="s">
        <v>112</v>
      </c>
      <c r="F274" s="2" t="s">
        <v>23</v>
      </c>
      <c r="G274" s="2" t="n">
        <v>2026</v>
      </c>
      <c r="H274" s="2" t="s">
        <v>42</v>
      </c>
      <c r="I274" s="2" t="s">
        <v>17</v>
      </c>
      <c r="J274" s="4" t="n">
        <v>46269</v>
      </c>
    </row>
    <row r="275" customFormat="false" ht="15" hidden="false" customHeight="false" outlineLevel="0" collapsed="false">
      <c r="A275" s="2" t="s">
        <v>1057</v>
      </c>
      <c r="B275" s="2" t="s">
        <v>620</v>
      </c>
      <c r="C275" s="2" t="s">
        <v>1058</v>
      </c>
      <c r="D275" s="3" t="s">
        <v>1059</v>
      </c>
      <c r="E275" s="2" t="s">
        <v>54</v>
      </c>
      <c r="F275" s="2" t="s">
        <v>41</v>
      </c>
      <c r="G275" s="2" t="n">
        <v>2026</v>
      </c>
      <c r="H275" s="2" t="s">
        <v>76</v>
      </c>
      <c r="I275" s="2" t="s">
        <v>43</v>
      </c>
      <c r="J275" s="4" t="n">
        <v>46281</v>
      </c>
    </row>
    <row r="276" customFormat="false" ht="15" hidden="false" customHeight="false" outlineLevel="0" collapsed="false">
      <c r="A276" s="2" t="s">
        <v>1060</v>
      </c>
      <c r="B276" s="2" t="s">
        <v>1061</v>
      </c>
      <c r="C276" s="2" t="s">
        <v>1062</v>
      </c>
      <c r="D276" s="3" t="s">
        <v>1063</v>
      </c>
      <c r="E276" s="2" t="s">
        <v>29</v>
      </c>
      <c r="F276" s="2" t="s">
        <v>41</v>
      </c>
      <c r="G276" s="2" t="n">
        <v>2027</v>
      </c>
      <c r="H276" s="2" t="s">
        <v>24</v>
      </c>
      <c r="I276" s="2" t="s">
        <v>43</v>
      </c>
      <c r="J276" s="4" t="n">
        <v>46204</v>
      </c>
    </row>
    <row r="277" customFormat="false" ht="15" hidden="false" customHeight="false" outlineLevel="0" collapsed="false">
      <c r="A277" s="2" t="s">
        <v>1064</v>
      </c>
      <c r="B277" s="2" t="s">
        <v>1065</v>
      </c>
      <c r="C277" s="2" t="s">
        <v>1066</v>
      </c>
      <c r="D277" s="3" t="s">
        <v>1067</v>
      </c>
      <c r="E277" s="2" t="s">
        <v>34</v>
      </c>
      <c r="F277" s="2" t="s">
        <v>23</v>
      </c>
      <c r="G277" s="2" t="n">
        <v>2027</v>
      </c>
      <c r="H277" s="2" t="s">
        <v>42</v>
      </c>
      <c r="I277" s="2" t="s">
        <v>17</v>
      </c>
      <c r="J277" s="4" t="n">
        <v>46287</v>
      </c>
    </row>
    <row r="278" customFormat="false" ht="15" hidden="false" customHeight="false" outlineLevel="0" collapsed="false">
      <c r="A278" s="2" t="s">
        <v>1068</v>
      </c>
      <c r="B278" s="2" t="s">
        <v>1029</v>
      </c>
      <c r="C278" s="2" t="s">
        <v>1069</v>
      </c>
      <c r="D278" s="3" t="s">
        <v>1070</v>
      </c>
      <c r="E278" s="2" t="s">
        <v>22</v>
      </c>
      <c r="F278" s="2" t="s">
        <v>41</v>
      </c>
      <c r="G278" s="2" t="n">
        <v>2026</v>
      </c>
      <c r="H278" s="2" t="s">
        <v>42</v>
      </c>
      <c r="I278" s="2" t="s">
        <v>36</v>
      </c>
      <c r="J278" s="4" t="n">
        <v>46241</v>
      </c>
    </row>
    <row r="279" customFormat="false" ht="15" hidden="false" customHeight="false" outlineLevel="0" collapsed="false">
      <c r="A279" s="2" t="s">
        <v>1071</v>
      </c>
      <c r="B279" s="2" t="s">
        <v>1072</v>
      </c>
      <c r="C279" s="2" t="s">
        <v>1073</v>
      </c>
      <c r="D279" s="3" t="s">
        <v>1074</v>
      </c>
      <c r="E279" s="2" t="s">
        <v>54</v>
      </c>
      <c r="F279" s="2" t="s">
        <v>35</v>
      </c>
      <c r="G279" s="2" t="n">
        <v>2027</v>
      </c>
      <c r="H279" s="2" t="s">
        <v>42</v>
      </c>
      <c r="I279" s="2" t="s">
        <v>36</v>
      </c>
      <c r="J279" s="4" t="n">
        <v>46249</v>
      </c>
    </row>
    <row r="280" customFormat="false" ht="15" hidden="false" customHeight="false" outlineLevel="0" collapsed="false">
      <c r="A280" s="2" t="s">
        <v>1075</v>
      </c>
      <c r="B280" s="2" t="s">
        <v>162</v>
      </c>
      <c r="C280" s="2" t="s">
        <v>1076</v>
      </c>
      <c r="D280" s="3" t="s">
        <v>1077</v>
      </c>
      <c r="E280" s="2" t="s">
        <v>106</v>
      </c>
      <c r="F280" s="2" t="s">
        <v>85</v>
      </c>
      <c r="G280" s="2" t="n">
        <v>2027</v>
      </c>
      <c r="H280" s="2" t="s">
        <v>107</v>
      </c>
      <c r="I280" s="2" t="s">
        <v>43</v>
      </c>
      <c r="J280" s="4" t="n">
        <v>46246</v>
      </c>
    </row>
    <row r="281" customFormat="false" ht="15" hidden="false" customHeight="false" outlineLevel="0" collapsed="false">
      <c r="A281" s="2" t="s">
        <v>1078</v>
      </c>
      <c r="B281" s="2" t="s">
        <v>1079</v>
      </c>
      <c r="C281" s="2" t="s">
        <v>1080</v>
      </c>
      <c r="D281" s="3" t="s">
        <v>1081</v>
      </c>
      <c r="E281" s="2" t="s">
        <v>14</v>
      </c>
      <c r="F281" s="2" t="s">
        <v>85</v>
      </c>
      <c r="G281" s="2" t="n">
        <v>2028</v>
      </c>
      <c r="H281" s="2" t="s">
        <v>70</v>
      </c>
      <c r="I281" s="2" t="s">
        <v>43</v>
      </c>
      <c r="J281" s="4" t="n">
        <v>46219</v>
      </c>
    </row>
    <row r="282" customFormat="false" ht="15" hidden="false" customHeight="false" outlineLevel="0" collapsed="false">
      <c r="A282" s="2" t="s">
        <v>1082</v>
      </c>
      <c r="B282" s="2" t="s">
        <v>905</v>
      </c>
      <c r="C282" s="2" t="s">
        <v>1083</v>
      </c>
      <c r="D282" s="3" t="s">
        <v>1084</v>
      </c>
      <c r="E282" s="2" t="s">
        <v>29</v>
      </c>
      <c r="F282" s="2" t="s">
        <v>85</v>
      </c>
      <c r="G282" s="2" t="n">
        <v>2026</v>
      </c>
      <c r="H282" s="2" t="s">
        <v>24</v>
      </c>
      <c r="I282" s="2" t="s">
        <v>17</v>
      </c>
      <c r="J282" s="4" t="n">
        <v>46223</v>
      </c>
    </row>
    <row r="283" customFormat="false" ht="15" hidden="false" customHeight="false" outlineLevel="0" collapsed="false">
      <c r="A283" s="2" t="s">
        <v>1085</v>
      </c>
      <c r="B283" s="2" t="s">
        <v>1086</v>
      </c>
      <c r="C283" s="2" t="s">
        <v>1087</v>
      </c>
      <c r="D283" s="3" t="s">
        <v>1088</v>
      </c>
      <c r="E283" s="2" t="s">
        <v>34</v>
      </c>
      <c r="F283" s="2" t="s">
        <v>85</v>
      </c>
      <c r="G283" s="2" t="n">
        <v>2026</v>
      </c>
      <c r="H283" s="2" t="s">
        <v>76</v>
      </c>
      <c r="I283" s="2" t="s">
        <v>17</v>
      </c>
      <c r="J283" s="4" t="n">
        <v>46226</v>
      </c>
    </row>
    <row r="284" customFormat="false" ht="15" hidden="false" customHeight="false" outlineLevel="0" collapsed="false">
      <c r="A284" s="2" t="s">
        <v>1089</v>
      </c>
      <c r="B284" s="2" t="s">
        <v>1090</v>
      </c>
      <c r="C284" s="2" t="s">
        <v>1091</v>
      </c>
      <c r="D284" s="3" t="s">
        <v>1092</v>
      </c>
      <c r="E284" s="2" t="s">
        <v>112</v>
      </c>
      <c r="F284" s="2" t="s">
        <v>41</v>
      </c>
      <c r="G284" s="2" t="n">
        <v>2026</v>
      </c>
      <c r="H284" s="2" t="s">
        <v>16</v>
      </c>
      <c r="I284" s="2" t="s">
        <v>36</v>
      </c>
      <c r="J284" s="4" t="n">
        <v>46285</v>
      </c>
    </row>
    <row r="285" customFormat="false" ht="15" hidden="false" customHeight="false" outlineLevel="0" collapsed="false">
      <c r="A285" s="2" t="s">
        <v>1093</v>
      </c>
      <c r="B285" s="2" t="s">
        <v>1065</v>
      </c>
      <c r="C285" s="2" t="s">
        <v>1094</v>
      </c>
      <c r="D285" s="3" t="s">
        <v>1095</v>
      </c>
      <c r="E285" s="2" t="s">
        <v>34</v>
      </c>
      <c r="F285" s="2" t="s">
        <v>41</v>
      </c>
      <c r="G285" s="2" t="n">
        <v>2026</v>
      </c>
      <c r="H285" s="2" t="s">
        <v>16</v>
      </c>
      <c r="I285" s="2" t="s">
        <v>17</v>
      </c>
      <c r="J285" s="4" t="n">
        <v>46235</v>
      </c>
    </row>
    <row r="286" customFormat="false" ht="15" hidden="false" customHeight="false" outlineLevel="0" collapsed="false">
      <c r="A286" s="2" t="s">
        <v>1096</v>
      </c>
      <c r="B286" s="2" t="s">
        <v>1097</v>
      </c>
      <c r="C286" s="2" t="s">
        <v>1098</v>
      </c>
      <c r="D286" s="3" t="s">
        <v>1099</v>
      </c>
      <c r="E286" s="2" t="s">
        <v>29</v>
      </c>
      <c r="F286" s="2" t="s">
        <v>85</v>
      </c>
      <c r="G286" s="2" t="n">
        <v>2026</v>
      </c>
      <c r="H286" s="2" t="s">
        <v>49</v>
      </c>
      <c r="I286" s="2" t="s">
        <v>43</v>
      </c>
      <c r="J286" s="4" t="n">
        <v>46270</v>
      </c>
    </row>
    <row r="287" customFormat="false" ht="15" hidden="false" customHeight="false" outlineLevel="0" collapsed="false">
      <c r="A287" s="2" t="s">
        <v>1100</v>
      </c>
      <c r="B287" s="2" t="s">
        <v>99</v>
      </c>
      <c r="C287" s="2" t="s">
        <v>1101</v>
      </c>
      <c r="D287" s="3" t="s">
        <v>1102</v>
      </c>
      <c r="E287" s="2" t="s">
        <v>48</v>
      </c>
      <c r="F287" s="2" t="s">
        <v>85</v>
      </c>
      <c r="G287" s="2" t="n">
        <v>2025</v>
      </c>
      <c r="H287" s="2" t="s">
        <v>76</v>
      </c>
      <c r="I287" s="2" t="s">
        <v>36</v>
      </c>
      <c r="J287" s="4" t="n">
        <v>46220</v>
      </c>
    </row>
    <row r="288" customFormat="false" ht="15" hidden="false" customHeight="false" outlineLevel="0" collapsed="false">
      <c r="A288" s="2" t="s">
        <v>1103</v>
      </c>
      <c r="B288" s="2" t="s">
        <v>1104</v>
      </c>
      <c r="C288" s="2" t="s">
        <v>1105</v>
      </c>
      <c r="D288" s="3" t="s">
        <v>1106</v>
      </c>
      <c r="E288" s="2" t="s">
        <v>48</v>
      </c>
      <c r="F288" s="2" t="s">
        <v>85</v>
      </c>
      <c r="G288" s="2" t="n">
        <v>2025</v>
      </c>
      <c r="H288" s="2" t="s">
        <v>16</v>
      </c>
      <c r="I288" s="2" t="s">
        <v>36</v>
      </c>
      <c r="J288" s="4" t="n">
        <v>46283</v>
      </c>
    </row>
    <row r="289" customFormat="false" ht="15" hidden="false" customHeight="false" outlineLevel="0" collapsed="false">
      <c r="A289" s="2" t="s">
        <v>1107</v>
      </c>
      <c r="B289" s="2" t="s">
        <v>1108</v>
      </c>
      <c r="C289" s="2" t="s">
        <v>1109</v>
      </c>
      <c r="D289" s="3" t="s">
        <v>1110</v>
      </c>
      <c r="E289" s="2" t="s">
        <v>69</v>
      </c>
      <c r="F289" s="2" t="s">
        <v>64</v>
      </c>
      <c r="G289" s="2" t="n">
        <v>2025</v>
      </c>
      <c r="H289" s="2" t="s">
        <v>107</v>
      </c>
      <c r="I289" s="2" t="s">
        <v>43</v>
      </c>
      <c r="J289" s="4" t="n">
        <v>46252</v>
      </c>
    </row>
    <row r="290" customFormat="false" ht="15" hidden="false" customHeight="false" outlineLevel="0" collapsed="false">
      <c r="A290" s="2" t="s">
        <v>1111</v>
      </c>
      <c r="B290" s="2" t="s">
        <v>329</v>
      </c>
      <c r="C290" s="2" t="s">
        <v>1112</v>
      </c>
      <c r="D290" s="3" t="s">
        <v>1113</v>
      </c>
      <c r="E290" s="2" t="s">
        <v>14</v>
      </c>
      <c r="F290" s="2" t="s">
        <v>41</v>
      </c>
      <c r="G290" s="2" t="n">
        <v>2025</v>
      </c>
      <c r="H290" s="2" t="s">
        <v>24</v>
      </c>
      <c r="I290" s="2" t="s">
        <v>17</v>
      </c>
      <c r="J290" s="4" t="n">
        <v>46238</v>
      </c>
    </row>
    <row r="291" customFormat="false" ht="15" hidden="false" customHeight="false" outlineLevel="0" collapsed="false">
      <c r="A291" s="2" t="s">
        <v>1114</v>
      </c>
      <c r="B291" s="2" t="s">
        <v>1115</v>
      </c>
      <c r="C291" s="2" t="s">
        <v>1116</v>
      </c>
      <c r="D291" s="3" t="s">
        <v>1117</v>
      </c>
      <c r="E291" s="2" t="s">
        <v>75</v>
      </c>
      <c r="F291" s="2" t="s">
        <v>23</v>
      </c>
      <c r="G291" s="2" t="n">
        <v>2026</v>
      </c>
      <c r="H291" s="2" t="s">
        <v>42</v>
      </c>
      <c r="I291" s="2" t="s">
        <v>43</v>
      </c>
      <c r="J291" s="4" t="n">
        <v>46229</v>
      </c>
    </row>
    <row r="292" customFormat="false" ht="15" hidden="false" customHeight="false" outlineLevel="0" collapsed="false">
      <c r="A292" s="2" t="s">
        <v>1118</v>
      </c>
      <c r="B292" s="2" t="s">
        <v>1119</v>
      </c>
      <c r="C292" s="2" t="s">
        <v>1120</v>
      </c>
      <c r="D292" s="3" t="s">
        <v>1121</v>
      </c>
      <c r="E292" s="2" t="s">
        <v>54</v>
      </c>
      <c r="F292" s="2" t="s">
        <v>35</v>
      </c>
      <c r="G292" s="2" t="n">
        <v>2025</v>
      </c>
      <c r="H292" s="2" t="s">
        <v>24</v>
      </c>
      <c r="I292" s="2" t="s">
        <v>36</v>
      </c>
      <c r="J292" s="4" t="n">
        <v>46205</v>
      </c>
    </row>
    <row r="293" customFormat="false" ht="15" hidden="false" customHeight="false" outlineLevel="0" collapsed="false">
      <c r="A293" s="2" t="s">
        <v>1122</v>
      </c>
      <c r="B293" s="2" t="s">
        <v>1123</v>
      </c>
      <c r="C293" s="2" t="s">
        <v>1124</v>
      </c>
      <c r="D293" s="3" t="s">
        <v>1125</v>
      </c>
      <c r="E293" s="2" t="s">
        <v>14</v>
      </c>
      <c r="F293" s="2" t="s">
        <v>85</v>
      </c>
      <c r="G293" s="2" t="n">
        <v>2026</v>
      </c>
      <c r="H293" s="2" t="s">
        <v>24</v>
      </c>
      <c r="I293" s="2" t="s">
        <v>17</v>
      </c>
      <c r="J293" s="4" t="n">
        <v>46216</v>
      </c>
    </row>
    <row r="294" customFormat="false" ht="15" hidden="false" customHeight="false" outlineLevel="0" collapsed="false">
      <c r="A294" s="2" t="s">
        <v>1126</v>
      </c>
      <c r="B294" s="2" t="s">
        <v>598</v>
      </c>
      <c r="C294" s="2" t="s">
        <v>1127</v>
      </c>
      <c r="D294" s="3" t="s">
        <v>1128</v>
      </c>
      <c r="E294" s="2" t="s">
        <v>121</v>
      </c>
      <c r="F294" s="2" t="s">
        <v>64</v>
      </c>
      <c r="G294" s="2" t="n">
        <v>2026</v>
      </c>
      <c r="H294" s="2" t="s">
        <v>107</v>
      </c>
      <c r="I294" s="2" t="s">
        <v>43</v>
      </c>
      <c r="J294" s="4" t="n">
        <v>46290</v>
      </c>
    </row>
    <row r="295" customFormat="false" ht="15" hidden="false" customHeight="false" outlineLevel="0" collapsed="false">
      <c r="A295" s="2" t="s">
        <v>1129</v>
      </c>
      <c r="B295" s="2" t="s">
        <v>1130</v>
      </c>
      <c r="C295" s="2" t="s">
        <v>1131</v>
      </c>
      <c r="D295" s="3" t="s">
        <v>1132</v>
      </c>
      <c r="E295" s="2" t="s">
        <v>106</v>
      </c>
      <c r="F295" s="2" t="s">
        <v>64</v>
      </c>
      <c r="G295" s="2" t="n">
        <v>2028</v>
      </c>
      <c r="H295" s="2" t="s">
        <v>24</v>
      </c>
      <c r="I295" s="2" t="s">
        <v>43</v>
      </c>
      <c r="J295" s="4" t="n">
        <v>46215</v>
      </c>
    </row>
    <row r="296" customFormat="false" ht="15" hidden="false" customHeight="false" outlineLevel="0" collapsed="false">
      <c r="A296" s="2" t="s">
        <v>1133</v>
      </c>
      <c r="B296" s="2" t="s">
        <v>1134</v>
      </c>
      <c r="C296" s="2" t="s">
        <v>1135</v>
      </c>
      <c r="D296" s="3" t="s">
        <v>1136</v>
      </c>
      <c r="E296" s="2" t="s">
        <v>34</v>
      </c>
      <c r="F296" s="2" t="s">
        <v>23</v>
      </c>
      <c r="G296" s="2" t="n">
        <v>2028</v>
      </c>
      <c r="H296" s="2" t="s">
        <v>49</v>
      </c>
      <c r="I296" s="2" t="s">
        <v>36</v>
      </c>
      <c r="J296" s="4" t="n">
        <v>46293</v>
      </c>
    </row>
    <row r="297" customFormat="false" ht="15" hidden="false" customHeight="false" outlineLevel="0" collapsed="false">
      <c r="A297" s="2" t="s">
        <v>1137</v>
      </c>
      <c r="B297" s="2" t="s">
        <v>218</v>
      </c>
      <c r="C297" s="2" t="s">
        <v>1138</v>
      </c>
      <c r="D297" s="3" t="s">
        <v>1139</v>
      </c>
      <c r="E297" s="2" t="s">
        <v>121</v>
      </c>
      <c r="F297" s="2" t="s">
        <v>23</v>
      </c>
      <c r="G297" s="2" t="n">
        <v>2028</v>
      </c>
      <c r="H297" s="2" t="s">
        <v>16</v>
      </c>
      <c r="I297" s="2" t="s">
        <v>43</v>
      </c>
      <c r="J297" s="4" t="n">
        <v>46282</v>
      </c>
    </row>
    <row r="298" customFormat="false" ht="15" hidden="false" customHeight="false" outlineLevel="0" collapsed="false">
      <c r="A298" s="2" t="s">
        <v>1140</v>
      </c>
      <c r="B298" s="2" t="s">
        <v>1141</v>
      </c>
      <c r="C298" s="2" t="s">
        <v>1142</v>
      </c>
      <c r="D298" s="3" t="s">
        <v>1143</v>
      </c>
      <c r="E298" s="2" t="s">
        <v>48</v>
      </c>
      <c r="F298" s="2" t="s">
        <v>85</v>
      </c>
      <c r="G298" s="2" t="n">
        <v>2027</v>
      </c>
      <c r="H298" s="2" t="s">
        <v>70</v>
      </c>
      <c r="I298" s="2" t="s">
        <v>36</v>
      </c>
      <c r="J298" s="4" t="n">
        <v>46237</v>
      </c>
    </row>
    <row r="299" customFormat="false" ht="15" hidden="false" customHeight="false" outlineLevel="0" collapsed="false">
      <c r="A299" s="2" t="s">
        <v>1144</v>
      </c>
      <c r="B299" s="2" t="s">
        <v>821</v>
      </c>
      <c r="C299" s="2" t="s">
        <v>1145</v>
      </c>
      <c r="D299" s="3" t="s">
        <v>1146</v>
      </c>
      <c r="E299" s="2" t="s">
        <v>112</v>
      </c>
      <c r="F299" s="2" t="s">
        <v>59</v>
      </c>
      <c r="G299" s="2" t="n">
        <v>2026</v>
      </c>
      <c r="H299" s="2" t="s">
        <v>70</v>
      </c>
      <c r="I299" s="2" t="s">
        <v>43</v>
      </c>
      <c r="J299" s="4" t="n">
        <v>46235</v>
      </c>
    </row>
    <row r="300" customFormat="false" ht="15" hidden="false" customHeight="false" outlineLevel="0" collapsed="false">
      <c r="A300" s="2" t="s">
        <v>1147</v>
      </c>
      <c r="B300" s="2" t="s">
        <v>283</v>
      </c>
      <c r="C300" s="2" t="s">
        <v>1148</v>
      </c>
      <c r="D300" s="3" t="s">
        <v>1149</v>
      </c>
      <c r="E300" s="2" t="s">
        <v>22</v>
      </c>
      <c r="F300" s="2" t="s">
        <v>59</v>
      </c>
      <c r="G300" s="2" t="n">
        <v>2028</v>
      </c>
      <c r="H300" s="2" t="s">
        <v>76</v>
      </c>
      <c r="I300" s="2" t="s">
        <v>36</v>
      </c>
      <c r="J300" s="4" t="n">
        <v>46213</v>
      </c>
    </row>
    <row r="301" customFormat="false" ht="15" hidden="false" customHeight="false" outlineLevel="0" collapsed="false">
      <c r="A301" s="2" t="s">
        <v>1150</v>
      </c>
      <c r="B301" s="2" t="s">
        <v>175</v>
      </c>
      <c r="C301" s="2" t="s">
        <v>1151</v>
      </c>
      <c r="D301" s="3" t="s">
        <v>1152</v>
      </c>
      <c r="E301" s="2" t="s">
        <v>75</v>
      </c>
      <c r="F301" s="2" t="s">
        <v>15</v>
      </c>
      <c r="G301" s="2" t="n">
        <v>2025</v>
      </c>
      <c r="H301" s="2" t="s">
        <v>24</v>
      </c>
      <c r="I301" s="2" t="s">
        <v>17</v>
      </c>
      <c r="J301" s="4" t="n">
        <v>46267</v>
      </c>
    </row>
  </sheetData>
  <autoFilter ref="A1:J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1153</v>
      </c>
      <c r="B1" s="1" t="s">
        <v>0</v>
      </c>
      <c r="C1" s="1" t="s">
        <v>1154</v>
      </c>
      <c r="D1" s="1" t="s">
        <v>1155</v>
      </c>
      <c r="E1" s="1" t="s">
        <v>1156</v>
      </c>
      <c r="F1" s="1" t="s">
        <v>1157</v>
      </c>
      <c r="G1" s="1" t="s">
        <v>1158</v>
      </c>
      <c r="H1" s="1" t="s">
        <v>1159</v>
      </c>
    </row>
    <row r="2" customFormat="false" ht="15" hidden="false" customHeight="false" outlineLevel="0" collapsed="false">
      <c r="A2" s="2" t="s">
        <v>1160</v>
      </c>
      <c r="B2" s="2" t="s">
        <v>10</v>
      </c>
      <c r="C2" s="4" t="n">
        <v>46211</v>
      </c>
      <c r="D2" s="2" t="s">
        <v>1161</v>
      </c>
      <c r="E2" s="2" t="s">
        <v>1162</v>
      </c>
      <c r="F2" s="2"/>
      <c r="G2" s="4"/>
      <c r="H2" s="2" t="str">
        <f aca="false">IF(C2&gt;CRM_Dashboard!$B$3,"Future-dated",IF(AND(B2=B1,C2&lt;C1),"Date out of sequence",IF(AND(G2&lt;&gt;"",G2&lt;=C2),"Follow-up not after interaction","")))</f>
        <v/>
      </c>
    </row>
    <row r="3" customFormat="false" ht="15" hidden="false" customHeight="false" outlineLevel="0" collapsed="false">
      <c r="A3" s="2" t="s">
        <v>1163</v>
      </c>
      <c r="B3" s="2" t="s">
        <v>10</v>
      </c>
      <c r="C3" s="4" t="n">
        <v>46211</v>
      </c>
      <c r="D3" s="2" t="s">
        <v>1161</v>
      </c>
      <c r="E3" s="2" t="s">
        <v>1162</v>
      </c>
      <c r="F3" s="2"/>
      <c r="G3" s="4"/>
      <c r="H3" s="2" t="str">
        <f aca="false">IF(C3&gt;CRM_Dashboard!$B$3,"Future-dated",IF(AND(B3=B2,C3&lt;C2),"Date out of sequence",IF(AND(G3&lt;&gt;"",G3&lt;=C3),"Follow-up not after interaction","")))</f>
        <v/>
      </c>
    </row>
    <row r="4" customFormat="false" ht="15" hidden="false" customHeight="false" outlineLevel="0" collapsed="false">
      <c r="A4" s="2" t="s">
        <v>1164</v>
      </c>
      <c r="B4" s="2" t="s">
        <v>10</v>
      </c>
      <c r="C4" s="4" t="n">
        <v>46210</v>
      </c>
      <c r="D4" s="2" t="s">
        <v>1161</v>
      </c>
      <c r="E4" s="2" t="s">
        <v>1162</v>
      </c>
      <c r="F4" s="2" t="s">
        <v>1165</v>
      </c>
      <c r="G4" s="4"/>
      <c r="H4" s="2" t="str">
        <f aca="false">IF(C4&gt;CRM_Dashboard!$B$3,"Future-dated",IF(AND(B4=B3,C4&lt;C3),"Date out of sequence",IF(AND(G4&lt;&gt;"",G4&lt;=C4),"Follow-up not after interaction","")))</f>
        <v>Date out of sequence</v>
      </c>
    </row>
    <row r="5" customFormat="false" ht="15" hidden="false" customHeight="false" outlineLevel="0" collapsed="false">
      <c r="A5" s="2" t="s">
        <v>1166</v>
      </c>
      <c r="B5" s="2" t="s">
        <v>18</v>
      </c>
      <c r="C5" s="4" t="n">
        <v>46271</v>
      </c>
      <c r="D5" s="2" t="s">
        <v>1161</v>
      </c>
      <c r="E5" s="2" t="s">
        <v>1167</v>
      </c>
      <c r="F5" s="2" t="s">
        <v>1168</v>
      </c>
      <c r="G5" s="4" t="n">
        <v>46277</v>
      </c>
      <c r="H5" s="2" t="str">
        <f aca="false">IF(C5&gt;CRM_Dashboard!$B$3,"Future-dated",IF(AND(B5=B4,C5&lt;C4),"Date out of sequence",IF(AND(G5&lt;&gt;"",G5&lt;=C5),"Follow-up not after interaction","")))</f>
        <v/>
      </c>
    </row>
    <row r="6" customFormat="false" ht="15" hidden="false" customHeight="false" outlineLevel="0" collapsed="false">
      <c r="A6" s="2" t="s">
        <v>1169</v>
      </c>
      <c r="B6" s="2" t="s">
        <v>25</v>
      </c>
      <c r="C6" s="4" t="n">
        <v>46249</v>
      </c>
      <c r="D6" s="2" t="s">
        <v>1161</v>
      </c>
      <c r="E6" s="2" t="s">
        <v>1162</v>
      </c>
      <c r="F6" s="2"/>
      <c r="G6" s="4"/>
      <c r="H6" s="2" t="str">
        <f aca="false">IF(C6&gt;CRM_Dashboard!$B$3,"Future-dated",IF(AND(B6=B5,C6&lt;C5),"Date out of sequence",IF(AND(G6&lt;&gt;"",G6&lt;=C6),"Follow-up not after interaction","")))</f>
        <v/>
      </c>
    </row>
    <row r="7" customFormat="false" ht="15" hidden="false" customHeight="false" outlineLevel="0" collapsed="false">
      <c r="A7" s="2" t="s">
        <v>1170</v>
      </c>
      <c r="B7" s="2" t="s">
        <v>25</v>
      </c>
      <c r="C7" s="4" t="n">
        <v>46249</v>
      </c>
      <c r="D7" s="2" t="s">
        <v>1161</v>
      </c>
      <c r="E7" s="2" t="s">
        <v>1171</v>
      </c>
      <c r="F7" s="2"/>
      <c r="G7" s="4"/>
      <c r="H7" s="2" t="str">
        <f aca="false">IF(C7&gt;CRM_Dashboard!$B$3,"Future-dated",IF(AND(B7=B6,C7&lt;C6),"Date out of sequence",IF(AND(G7&lt;&gt;"",G7&lt;=C7),"Follow-up not after interaction","")))</f>
        <v/>
      </c>
    </row>
    <row r="8" customFormat="false" ht="15" hidden="false" customHeight="false" outlineLevel="0" collapsed="false">
      <c r="A8" s="2" t="s">
        <v>1172</v>
      </c>
      <c r="B8" s="2" t="s">
        <v>25</v>
      </c>
      <c r="C8" s="4" t="n">
        <v>46247</v>
      </c>
      <c r="D8" s="2" t="s">
        <v>1161</v>
      </c>
      <c r="E8" s="2" t="s">
        <v>1173</v>
      </c>
      <c r="F8" s="2" t="s">
        <v>1174</v>
      </c>
      <c r="G8" s="4" t="n">
        <v>46249</v>
      </c>
      <c r="H8" s="2" t="str">
        <f aca="false">IF(C8&gt;CRM_Dashboard!$B$3,"Future-dated",IF(AND(B8=B7,C8&lt;C7),"Date out of sequence",IF(AND(G8&lt;&gt;"",G8&lt;=C8),"Follow-up not after interaction","")))</f>
        <v>Date out of sequence</v>
      </c>
    </row>
    <row r="9" customFormat="false" ht="15" hidden="false" customHeight="false" outlineLevel="0" collapsed="false">
      <c r="A9" s="2" t="s">
        <v>1175</v>
      </c>
      <c r="B9" s="2" t="s">
        <v>30</v>
      </c>
      <c r="C9" s="4" t="n">
        <v>46253</v>
      </c>
      <c r="D9" s="2" t="s">
        <v>1161</v>
      </c>
      <c r="E9" s="2" t="s">
        <v>1176</v>
      </c>
      <c r="F9" s="2" t="s">
        <v>1177</v>
      </c>
      <c r="G9" s="4" t="n">
        <v>46262</v>
      </c>
      <c r="H9" s="2" t="str">
        <f aca="false">IF(C9&gt;CRM_Dashboard!$B$3,"Future-dated",IF(AND(B9=B8,C9&lt;C8),"Date out of sequence",IF(AND(G9&lt;&gt;"",G9&lt;=C9),"Follow-up not after interaction","")))</f>
        <v/>
      </c>
    </row>
    <row r="10" customFormat="false" ht="15" hidden="false" customHeight="false" outlineLevel="0" collapsed="false">
      <c r="A10" s="2" t="s">
        <v>1178</v>
      </c>
      <c r="B10" s="2" t="s">
        <v>37</v>
      </c>
      <c r="C10" s="4" t="n">
        <v>46217</v>
      </c>
      <c r="D10" s="2" t="s">
        <v>1161</v>
      </c>
      <c r="E10" s="2" t="s">
        <v>1179</v>
      </c>
      <c r="F10" s="2"/>
      <c r="G10" s="4"/>
      <c r="H10" s="2" t="str">
        <f aca="false">IF(C10&gt;CRM_Dashboard!$B$3,"Future-dated",IF(AND(B10=B9,C10&lt;C9),"Date out of sequence",IF(AND(G10&lt;&gt;"",G10&lt;=C10),"Follow-up not after interaction","")))</f>
        <v/>
      </c>
    </row>
    <row r="11" customFormat="false" ht="15" hidden="false" customHeight="false" outlineLevel="0" collapsed="false">
      <c r="A11" s="2" t="s">
        <v>1180</v>
      </c>
      <c r="B11" s="2" t="s">
        <v>37</v>
      </c>
      <c r="C11" s="4" t="n">
        <v>46216</v>
      </c>
      <c r="D11" s="2" t="s">
        <v>1161</v>
      </c>
      <c r="E11" s="2" t="s">
        <v>1176</v>
      </c>
      <c r="F11" s="2" t="s">
        <v>1165</v>
      </c>
      <c r="G11" s="4" t="n">
        <v>46220</v>
      </c>
      <c r="H11" s="2" t="str">
        <f aca="false">IF(C11&gt;CRM_Dashboard!$B$3,"Future-dated",IF(AND(B11=B10,C11&lt;C10),"Date out of sequence",IF(AND(G11&lt;&gt;"",G11&lt;=C11),"Follow-up not after interaction","")))</f>
        <v>Date out of sequence</v>
      </c>
    </row>
    <row r="12" customFormat="false" ht="15" hidden="false" customHeight="false" outlineLevel="0" collapsed="false">
      <c r="A12" s="2" t="s">
        <v>1181</v>
      </c>
      <c r="B12" s="2" t="s">
        <v>44</v>
      </c>
      <c r="C12" s="4" t="n">
        <v>46229</v>
      </c>
      <c r="D12" s="2" t="s">
        <v>1161</v>
      </c>
      <c r="E12" s="2" t="s">
        <v>1162</v>
      </c>
      <c r="F12" s="2"/>
      <c r="G12" s="4"/>
      <c r="H12" s="2" t="str">
        <f aca="false">IF(C12&gt;CRM_Dashboard!$B$3,"Future-dated",IF(AND(B12=B11,C12&lt;C11),"Date out of sequence",IF(AND(G12&lt;&gt;"",G12&lt;=C12),"Follow-up not after interaction","")))</f>
        <v/>
      </c>
    </row>
    <row r="13" customFormat="false" ht="15" hidden="false" customHeight="false" outlineLevel="0" collapsed="false">
      <c r="A13" s="2" t="s">
        <v>1182</v>
      </c>
      <c r="B13" s="2" t="s">
        <v>44</v>
      </c>
      <c r="C13" s="4" t="n">
        <v>46231</v>
      </c>
      <c r="D13" s="2" t="s">
        <v>1161</v>
      </c>
      <c r="E13" s="2" t="s">
        <v>1173</v>
      </c>
      <c r="F13" s="2" t="s">
        <v>1183</v>
      </c>
      <c r="G13" s="4" t="n">
        <v>46234</v>
      </c>
      <c r="H13" s="2" t="str">
        <f aca="false">IF(C13&gt;CRM_Dashboard!$B$3,"Future-dated",IF(AND(B13=B12,C13&lt;C12),"Date out of sequence",IF(AND(G13&lt;&gt;"",G13&lt;=C13),"Follow-up not after interaction","")))</f>
        <v/>
      </c>
    </row>
    <row r="14" customFormat="false" ht="15" hidden="false" customHeight="false" outlineLevel="0" collapsed="false">
      <c r="A14" s="2" t="s">
        <v>1184</v>
      </c>
      <c r="B14" s="2" t="s">
        <v>50</v>
      </c>
      <c r="C14" s="4" t="n">
        <v>46216</v>
      </c>
      <c r="D14" s="2" t="s">
        <v>1161</v>
      </c>
      <c r="E14" s="2" t="s">
        <v>1185</v>
      </c>
      <c r="F14" s="2"/>
      <c r="G14" s="4"/>
      <c r="H14" s="2" t="str">
        <f aca="false">IF(C14&gt;CRM_Dashboard!$B$3,"Future-dated",IF(AND(B14=B13,C14&lt;C13),"Date out of sequence",IF(AND(G14&lt;&gt;"",G14&lt;=C14),"Follow-up not after interaction","")))</f>
        <v/>
      </c>
    </row>
    <row r="15" customFormat="false" ht="15" hidden="false" customHeight="false" outlineLevel="0" collapsed="false">
      <c r="A15" s="2" t="s">
        <v>1186</v>
      </c>
      <c r="B15" s="2" t="s">
        <v>50</v>
      </c>
      <c r="C15" s="4" t="n">
        <v>46216</v>
      </c>
      <c r="D15" s="2" t="s">
        <v>1161</v>
      </c>
      <c r="E15" s="2" t="s">
        <v>1167</v>
      </c>
      <c r="F15" s="2" t="s">
        <v>1168</v>
      </c>
      <c r="G15" s="4" t="n">
        <v>46216</v>
      </c>
      <c r="H15" s="2" t="str">
        <f aca="false">IF(C15&gt;CRM_Dashboard!$B$3,"Future-dated",IF(AND(B15=B14,C15&lt;C14),"Date out of sequence",IF(AND(G15&lt;&gt;"",G15&lt;=C15),"Follow-up not after interaction","")))</f>
        <v>Follow-up not after interaction</v>
      </c>
    </row>
    <row r="16" customFormat="false" ht="15" hidden="false" customHeight="false" outlineLevel="0" collapsed="false">
      <c r="A16" s="2" t="s">
        <v>1187</v>
      </c>
      <c r="B16" s="2" t="s">
        <v>55</v>
      </c>
      <c r="C16" s="4" t="n">
        <v>46278</v>
      </c>
      <c r="D16" s="2" t="s">
        <v>1161</v>
      </c>
      <c r="E16" s="2" t="s">
        <v>1188</v>
      </c>
      <c r="F16" s="2"/>
      <c r="G16" s="4"/>
      <c r="H16" s="2" t="str">
        <f aca="false">IF(C16&gt;CRM_Dashboard!$B$3,"Future-dated",IF(AND(B16=B15,C16&lt;C15),"Date out of sequence",IF(AND(G16&lt;&gt;"",G16&lt;=C16),"Follow-up not after interaction","")))</f>
        <v/>
      </c>
    </row>
    <row r="17" customFormat="false" ht="15" hidden="false" customHeight="false" outlineLevel="0" collapsed="false">
      <c r="A17" s="2" t="s">
        <v>1189</v>
      </c>
      <c r="B17" s="2" t="s">
        <v>55</v>
      </c>
      <c r="C17" s="4" t="n">
        <v>46280</v>
      </c>
      <c r="D17" s="2" t="s">
        <v>1161</v>
      </c>
      <c r="E17" s="2" t="s">
        <v>1176</v>
      </c>
      <c r="F17" s="2"/>
      <c r="G17" s="4"/>
      <c r="H17" s="2" t="str">
        <f aca="false">IF(C17&gt;CRM_Dashboard!$B$3,"Future-dated",IF(AND(B17=B16,C17&lt;C16),"Date out of sequence",IF(AND(G17&lt;&gt;"",G17&lt;=C17),"Follow-up not after interaction","")))</f>
        <v/>
      </c>
    </row>
    <row r="18" customFormat="false" ht="15" hidden="false" customHeight="false" outlineLevel="0" collapsed="false">
      <c r="A18" s="2" t="s">
        <v>1190</v>
      </c>
      <c r="B18" s="2" t="s">
        <v>55</v>
      </c>
      <c r="C18" s="4" t="n">
        <v>46280</v>
      </c>
      <c r="D18" s="2" t="s">
        <v>1161</v>
      </c>
      <c r="E18" s="2" t="s">
        <v>1167</v>
      </c>
      <c r="F18" s="2" t="s">
        <v>1168</v>
      </c>
      <c r="G18" s="4" t="n">
        <v>46278</v>
      </c>
      <c r="H18" s="2" t="str">
        <f aca="false">IF(C18&gt;CRM_Dashboard!$B$3,"Future-dated",IF(AND(B18=B17,C18&lt;C17),"Date out of sequence",IF(AND(G18&lt;&gt;"",G18&lt;=C18),"Follow-up not after interaction","")))</f>
        <v>Follow-up not after interaction</v>
      </c>
    </row>
    <row r="19" customFormat="false" ht="15" hidden="false" customHeight="false" outlineLevel="0" collapsed="false">
      <c r="A19" s="2" t="s">
        <v>1191</v>
      </c>
      <c r="B19" s="2" t="s">
        <v>60</v>
      </c>
      <c r="C19" s="4" t="n">
        <v>46294</v>
      </c>
      <c r="D19" s="2" t="s">
        <v>1161</v>
      </c>
      <c r="E19" s="2" t="s">
        <v>1167</v>
      </c>
      <c r="F19" s="2"/>
      <c r="G19" s="4"/>
      <c r="H19" s="2" t="str">
        <f aca="false">IF(C19&gt;CRM_Dashboard!$B$3,"Future-dated",IF(AND(B19=B18,C19&lt;C18),"Date out of sequence",IF(AND(G19&lt;&gt;"",G19&lt;=C19),"Follow-up not after interaction","")))</f>
        <v/>
      </c>
    </row>
    <row r="20" customFormat="false" ht="15" hidden="false" customHeight="false" outlineLevel="0" collapsed="false">
      <c r="A20" s="2" t="s">
        <v>1192</v>
      </c>
      <c r="B20" s="2" t="s">
        <v>60</v>
      </c>
      <c r="C20" s="4" t="n">
        <v>46291</v>
      </c>
      <c r="D20" s="2" t="s">
        <v>1161</v>
      </c>
      <c r="E20" s="2" t="s">
        <v>1176</v>
      </c>
      <c r="F20" s="2"/>
      <c r="G20" s="4"/>
      <c r="H20" s="2" t="str">
        <f aca="false">IF(C20&gt;CRM_Dashboard!$B$3,"Future-dated",IF(AND(B20=B19,C20&lt;C19),"Date out of sequence",IF(AND(G20&lt;&gt;"",G20&lt;=C20),"Follow-up not after interaction","")))</f>
        <v>Date out of sequence</v>
      </c>
    </row>
    <row r="21" customFormat="false" ht="15" hidden="false" customHeight="false" outlineLevel="0" collapsed="false">
      <c r="A21" s="2" t="s">
        <v>1193</v>
      </c>
      <c r="B21" s="2" t="s">
        <v>60</v>
      </c>
      <c r="C21" s="4" t="n">
        <v>46292</v>
      </c>
      <c r="D21" s="2" t="s">
        <v>1161</v>
      </c>
      <c r="E21" s="2" t="s">
        <v>1167</v>
      </c>
      <c r="F21" s="2"/>
      <c r="G21" s="4"/>
      <c r="H21" s="2" t="str">
        <f aca="false">IF(C21&gt;CRM_Dashboard!$B$3,"Future-dated",IF(AND(B21=B20,C21&lt;C20),"Date out of sequence",IF(AND(G21&lt;&gt;"",G21&lt;=C21),"Follow-up not after interaction","")))</f>
        <v/>
      </c>
    </row>
    <row r="22" customFormat="false" ht="15" hidden="false" customHeight="false" outlineLevel="0" collapsed="false">
      <c r="A22" s="2" t="s">
        <v>1194</v>
      </c>
      <c r="B22" s="2" t="s">
        <v>60</v>
      </c>
      <c r="C22" s="4" t="n">
        <v>46301</v>
      </c>
      <c r="D22" s="2" t="s">
        <v>1161</v>
      </c>
      <c r="E22" s="2" t="s">
        <v>1176</v>
      </c>
      <c r="F22" s="2" t="s">
        <v>1195</v>
      </c>
      <c r="G22" s="4" t="n">
        <v>46300</v>
      </c>
      <c r="H22" s="2" t="str">
        <f aca="false">IF(C22&gt;CRM_Dashboard!$B$3,"Future-dated",IF(AND(B22=B21,C22&lt;C21),"Date out of sequence",IF(AND(G22&lt;&gt;"",G22&lt;=C22),"Follow-up not after interaction","")))</f>
        <v>Future-dated</v>
      </c>
    </row>
    <row r="23" customFormat="false" ht="15" hidden="false" customHeight="false" outlineLevel="0" collapsed="false">
      <c r="A23" s="2" t="s">
        <v>1196</v>
      </c>
      <c r="B23" s="2" t="s">
        <v>65</v>
      </c>
      <c r="C23" s="4" t="n">
        <v>46248</v>
      </c>
      <c r="D23" s="2" t="s">
        <v>1161</v>
      </c>
      <c r="E23" s="2" t="s">
        <v>1173</v>
      </c>
      <c r="F23" s="2" t="s">
        <v>1195</v>
      </c>
      <c r="G23" s="4" t="n">
        <v>46248</v>
      </c>
      <c r="H23" s="2" t="str">
        <f aca="false">IF(C23&gt;CRM_Dashboard!$B$3,"Future-dated",IF(AND(B23=B22,C23&lt;C22),"Date out of sequence",IF(AND(G23&lt;&gt;"",G23&lt;=C23),"Follow-up not after interaction","")))</f>
        <v>Follow-up not after interaction</v>
      </c>
    </row>
    <row r="24" customFormat="false" ht="15" hidden="false" customHeight="false" outlineLevel="0" collapsed="false">
      <c r="A24" s="2" t="s">
        <v>1197</v>
      </c>
      <c r="B24" s="2" t="s">
        <v>71</v>
      </c>
      <c r="C24" s="4" t="n">
        <v>46268</v>
      </c>
      <c r="D24" s="2" t="s">
        <v>1161</v>
      </c>
      <c r="E24" s="2" t="s">
        <v>1162</v>
      </c>
      <c r="F24" s="2"/>
      <c r="G24" s="4"/>
      <c r="H24" s="2" t="str">
        <f aca="false">IF(C24&gt;CRM_Dashboard!$B$3,"Future-dated",IF(AND(B24=B23,C24&lt;C23),"Date out of sequence",IF(AND(G24&lt;&gt;"",G24&lt;=C24),"Follow-up not after interaction","")))</f>
        <v/>
      </c>
    </row>
    <row r="25" customFormat="false" ht="15" hidden="false" customHeight="false" outlineLevel="0" collapsed="false">
      <c r="A25" s="2" t="s">
        <v>1198</v>
      </c>
      <c r="B25" s="2" t="s">
        <v>71</v>
      </c>
      <c r="C25" s="4" t="n">
        <v>46270</v>
      </c>
      <c r="D25" s="2" t="s">
        <v>1161</v>
      </c>
      <c r="E25" s="2" t="s">
        <v>1188</v>
      </c>
      <c r="F25" s="2" t="s">
        <v>1165</v>
      </c>
      <c r="G25" s="4"/>
      <c r="H25" s="2" t="str">
        <f aca="false">IF(C25&gt;CRM_Dashboard!$B$3,"Future-dated",IF(AND(B25=B24,C25&lt;C24),"Date out of sequence",IF(AND(G25&lt;&gt;"",G25&lt;=C25),"Follow-up not after interaction","")))</f>
        <v/>
      </c>
    </row>
    <row r="26" customFormat="false" ht="15" hidden="false" customHeight="false" outlineLevel="0" collapsed="false">
      <c r="A26" s="2" t="s">
        <v>1199</v>
      </c>
      <c r="B26" s="2" t="s">
        <v>77</v>
      </c>
      <c r="C26" s="4" t="n">
        <v>46245</v>
      </c>
      <c r="D26" s="2" t="s">
        <v>1161</v>
      </c>
      <c r="E26" s="2" t="s">
        <v>1162</v>
      </c>
      <c r="F26" s="2"/>
      <c r="G26" s="4"/>
      <c r="H26" s="2" t="str">
        <f aca="false">IF(C26&gt;CRM_Dashboard!$B$3,"Future-dated",IF(AND(B26=B25,C26&lt;C25),"Date out of sequence",IF(AND(G26&lt;&gt;"",G26&lt;=C26),"Follow-up not after interaction","")))</f>
        <v/>
      </c>
    </row>
    <row r="27" customFormat="false" ht="15" hidden="false" customHeight="false" outlineLevel="0" collapsed="false">
      <c r="A27" s="2" t="s">
        <v>1200</v>
      </c>
      <c r="B27" s="2" t="s">
        <v>77</v>
      </c>
      <c r="C27" s="4" t="n">
        <v>46249</v>
      </c>
      <c r="D27" s="2" t="s">
        <v>1161</v>
      </c>
      <c r="E27" s="2" t="s">
        <v>1179</v>
      </c>
      <c r="F27" s="2" t="s">
        <v>1168</v>
      </c>
      <c r="G27" s="4"/>
      <c r="H27" s="2" t="str">
        <f aca="false">IF(C27&gt;CRM_Dashboard!$B$3,"Future-dated",IF(AND(B27=B26,C27&lt;C26),"Date out of sequence",IF(AND(G27&lt;&gt;"",G27&lt;=C27),"Follow-up not after interaction","")))</f>
        <v/>
      </c>
    </row>
    <row r="28" customFormat="false" ht="15" hidden="false" customHeight="false" outlineLevel="0" collapsed="false">
      <c r="A28" s="2" t="s">
        <v>1201</v>
      </c>
      <c r="B28" s="2" t="s">
        <v>81</v>
      </c>
      <c r="C28" s="4" t="n">
        <v>46266</v>
      </c>
      <c r="D28" s="2" t="s">
        <v>1161</v>
      </c>
      <c r="E28" s="2" t="s">
        <v>1162</v>
      </c>
      <c r="F28" s="2"/>
      <c r="G28" s="4"/>
      <c r="H28" s="2" t="str">
        <f aca="false">IF(C28&gt;CRM_Dashboard!$B$3,"Future-dated",IF(AND(B28=B27,C28&lt;C27),"Date out of sequence",IF(AND(G28&lt;&gt;"",G28&lt;=C28),"Follow-up not after interaction","")))</f>
        <v/>
      </c>
    </row>
    <row r="29" customFormat="false" ht="15" hidden="false" customHeight="false" outlineLevel="0" collapsed="false">
      <c r="A29" s="2" t="s">
        <v>1202</v>
      </c>
      <c r="B29" s="2" t="s">
        <v>81</v>
      </c>
      <c r="C29" s="4" t="n">
        <v>46268</v>
      </c>
      <c r="D29" s="2" t="s">
        <v>1161</v>
      </c>
      <c r="E29" s="2" t="s">
        <v>1179</v>
      </c>
      <c r="F29" s="2" t="s">
        <v>1203</v>
      </c>
      <c r="G29" s="4"/>
      <c r="H29" s="2" t="str">
        <f aca="false">IF(C29&gt;CRM_Dashboard!$B$3,"Future-dated",IF(AND(B29=B28,C29&lt;C28),"Date out of sequence",IF(AND(G29&lt;&gt;"",G29&lt;=C29),"Follow-up not after interaction","")))</f>
        <v/>
      </c>
    </row>
    <row r="30" customFormat="false" ht="15" hidden="false" customHeight="false" outlineLevel="0" collapsed="false">
      <c r="A30" s="2" t="s">
        <v>1204</v>
      </c>
      <c r="B30" s="2" t="s">
        <v>86</v>
      </c>
      <c r="C30" s="4" t="n">
        <v>46255</v>
      </c>
      <c r="D30" s="2" t="s">
        <v>1161</v>
      </c>
      <c r="E30" s="2" t="s">
        <v>1205</v>
      </c>
      <c r="F30" s="2"/>
      <c r="G30" s="4"/>
      <c r="H30" s="2" t="str">
        <f aca="false">IF(C30&gt;CRM_Dashboard!$B$3,"Future-dated",IF(AND(B30=B29,C30&lt;C29),"Date out of sequence",IF(AND(G30&lt;&gt;"",G30&lt;=C30),"Follow-up not after interaction","")))</f>
        <v/>
      </c>
    </row>
    <row r="31" customFormat="false" ht="15" hidden="false" customHeight="false" outlineLevel="0" collapsed="false">
      <c r="A31" s="2" t="s">
        <v>1206</v>
      </c>
      <c r="B31" s="2" t="s">
        <v>86</v>
      </c>
      <c r="C31" s="4" t="n">
        <v>46253</v>
      </c>
      <c r="D31" s="2" t="s">
        <v>1161</v>
      </c>
      <c r="E31" s="2" t="s">
        <v>1176</v>
      </c>
      <c r="F31" s="2"/>
      <c r="G31" s="4"/>
      <c r="H31" s="2" t="str">
        <f aca="false">IF(C31&gt;CRM_Dashboard!$B$3,"Future-dated",IF(AND(B31=B30,C31&lt;C30),"Date out of sequence",IF(AND(G31&lt;&gt;"",G31&lt;=C31),"Follow-up not after interaction","")))</f>
        <v>Date out of sequence</v>
      </c>
    </row>
    <row r="32" customFormat="false" ht="15" hidden="false" customHeight="false" outlineLevel="0" collapsed="false">
      <c r="A32" s="2" t="s">
        <v>1207</v>
      </c>
      <c r="B32" s="2" t="s">
        <v>86</v>
      </c>
      <c r="C32" s="4" t="n">
        <v>46252</v>
      </c>
      <c r="D32" s="2" t="s">
        <v>1161</v>
      </c>
      <c r="E32" s="2" t="s">
        <v>1162</v>
      </c>
      <c r="F32" s="2"/>
      <c r="G32" s="4"/>
      <c r="H32" s="2" t="str">
        <f aca="false">IF(C32&gt;CRM_Dashboard!$B$3,"Future-dated",IF(AND(B32=B31,C32&lt;C31),"Date out of sequence",IF(AND(G32&lt;&gt;"",G32&lt;=C32),"Follow-up not after interaction","")))</f>
        <v>Date out of sequence</v>
      </c>
    </row>
    <row r="33" customFormat="false" ht="15" hidden="false" customHeight="false" outlineLevel="0" collapsed="false">
      <c r="A33" s="2" t="s">
        <v>1208</v>
      </c>
      <c r="B33" s="2" t="s">
        <v>86</v>
      </c>
      <c r="C33" s="4" t="n">
        <v>46251</v>
      </c>
      <c r="D33" s="2" t="s">
        <v>1161</v>
      </c>
      <c r="E33" s="2" t="s">
        <v>1185</v>
      </c>
      <c r="F33" s="2" t="s">
        <v>1209</v>
      </c>
      <c r="G33" s="4"/>
      <c r="H33" s="2" t="str">
        <f aca="false">IF(C33&gt;CRM_Dashboard!$B$3,"Future-dated",IF(AND(B33=B32,C33&lt;C32),"Date out of sequence",IF(AND(G33&lt;&gt;"",G33&lt;=C33),"Follow-up not after interaction","")))</f>
        <v>Date out of sequence</v>
      </c>
    </row>
    <row r="34" customFormat="false" ht="15" hidden="false" customHeight="false" outlineLevel="0" collapsed="false">
      <c r="A34" s="2" t="s">
        <v>1210</v>
      </c>
      <c r="B34" s="2" t="s">
        <v>90</v>
      </c>
      <c r="C34" s="4" t="n">
        <v>46209</v>
      </c>
      <c r="D34" s="2" t="s">
        <v>1161</v>
      </c>
      <c r="E34" s="2" t="s">
        <v>1162</v>
      </c>
      <c r="F34" s="2"/>
      <c r="G34" s="4"/>
      <c r="H34" s="2" t="str">
        <f aca="false">IF(C34&gt;CRM_Dashboard!$B$3,"Future-dated",IF(AND(B34=B33,C34&lt;C33),"Date out of sequence",IF(AND(G34&lt;&gt;"",G34&lt;=C34),"Follow-up not after interaction","")))</f>
        <v/>
      </c>
    </row>
    <row r="35" customFormat="false" ht="15" hidden="false" customHeight="false" outlineLevel="0" collapsed="false">
      <c r="A35" s="2" t="s">
        <v>1211</v>
      </c>
      <c r="B35" s="2" t="s">
        <v>90</v>
      </c>
      <c r="C35" s="4" t="n">
        <v>46211</v>
      </c>
      <c r="D35" s="2" t="s">
        <v>1161</v>
      </c>
      <c r="E35" s="2" t="s">
        <v>1162</v>
      </c>
      <c r="F35" s="2"/>
      <c r="G35" s="4"/>
      <c r="H35" s="2" t="str">
        <f aca="false">IF(C35&gt;CRM_Dashboard!$B$3,"Future-dated",IF(AND(B35=B34,C35&lt;C34),"Date out of sequence",IF(AND(G35&lt;&gt;"",G35&lt;=C35),"Follow-up not after interaction","")))</f>
        <v/>
      </c>
    </row>
    <row r="36" customFormat="false" ht="15" hidden="false" customHeight="false" outlineLevel="0" collapsed="false">
      <c r="A36" s="2" t="s">
        <v>1212</v>
      </c>
      <c r="B36" s="2" t="s">
        <v>90</v>
      </c>
      <c r="C36" s="4" t="n">
        <v>46210</v>
      </c>
      <c r="D36" s="2" t="s">
        <v>1161</v>
      </c>
      <c r="E36" s="2" t="s">
        <v>1167</v>
      </c>
      <c r="F36" s="2" t="s">
        <v>1203</v>
      </c>
      <c r="G36" s="4" t="n">
        <v>46211</v>
      </c>
      <c r="H36" s="2" t="str">
        <f aca="false">IF(C36&gt;CRM_Dashboard!$B$3,"Future-dated",IF(AND(B36=B35,C36&lt;C35),"Date out of sequence",IF(AND(G36&lt;&gt;"",G36&lt;=C36),"Follow-up not after interaction","")))</f>
        <v>Date out of sequence</v>
      </c>
    </row>
    <row r="37" customFormat="false" ht="15" hidden="false" customHeight="false" outlineLevel="0" collapsed="false">
      <c r="A37" s="2" t="s">
        <v>1213</v>
      </c>
      <c r="B37" s="2" t="s">
        <v>94</v>
      </c>
      <c r="C37" s="4" t="n">
        <v>46219</v>
      </c>
      <c r="D37" s="2" t="s">
        <v>1161</v>
      </c>
      <c r="E37" s="2" t="s">
        <v>1173</v>
      </c>
      <c r="F37" s="2"/>
      <c r="G37" s="4"/>
      <c r="H37" s="2" t="str">
        <f aca="false">IF(C37&gt;CRM_Dashboard!$B$3,"Future-dated",IF(AND(B37=B36,C37&lt;C36),"Date out of sequence",IF(AND(G37&lt;&gt;"",G37&lt;=C37),"Follow-up not after interaction","")))</f>
        <v/>
      </c>
    </row>
    <row r="38" customFormat="false" ht="15" hidden="false" customHeight="false" outlineLevel="0" collapsed="false">
      <c r="A38" s="2" t="s">
        <v>1214</v>
      </c>
      <c r="B38" s="2" t="s">
        <v>94</v>
      </c>
      <c r="C38" s="4" t="n">
        <v>46216</v>
      </c>
      <c r="D38" s="2" t="s">
        <v>1161</v>
      </c>
      <c r="E38" s="2" t="s">
        <v>1176</v>
      </c>
      <c r="F38" s="2"/>
      <c r="G38" s="4"/>
      <c r="H38" s="2" t="str">
        <f aca="false">IF(C38&gt;CRM_Dashboard!$B$3,"Future-dated",IF(AND(B38=B37,C38&lt;C37),"Date out of sequence",IF(AND(G38&lt;&gt;"",G38&lt;=C38),"Follow-up not after interaction","")))</f>
        <v>Date out of sequence</v>
      </c>
    </row>
    <row r="39" customFormat="false" ht="15" hidden="false" customHeight="false" outlineLevel="0" collapsed="false">
      <c r="A39" s="2" t="s">
        <v>1215</v>
      </c>
      <c r="B39" s="2" t="s">
        <v>94</v>
      </c>
      <c r="C39" s="4" t="n">
        <v>46220</v>
      </c>
      <c r="D39" s="2" t="s">
        <v>1161</v>
      </c>
      <c r="E39" s="2" t="s">
        <v>1179</v>
      </c>
      <c r="F39" s="2"/>
      <c r="G39" s="4"/>
      <c r="H39" s="2" t="str">
        <f aca="false">IF(C39&gt;CRM_Dashboard!$B$3,"Future-dated",IF(AND(B39=B38,C39&lt;C38),"Date out of sequence",IF(AND(G39&lt;&gt;"",G39&lt;=C39),"Follow-up not after interaction","")))</f>
        <v/>
      </c>
    </row>
    <row r="40" customFormat="false" ht="15" hidden="false" customHeight="false" outlineLevel="0" collapsed="false">
      <c r="A40" s="2" t="s">
        <v>1216</v>
      </c>
      <c r="B40" s="2" t="s">
        <v>94</v>
      </c>
      <c r="C40" s="4" t="n">
        <v>46225</v>
      </c>
      <c r="D40" s="2" t="s">
        <v>1161</v>
      </c>
      <c r="E40" s="2" t="s">
        <v>1162</v>
      </c>
      <c r="F40" s="2" t="s">
        <v>1165</v>
      </c>
      <c r="G40" s="4"/>
      <c r="H40" s="2" t="str">
        <f aca="false">IF(C40&gt;CRM_Dashboard!$B$3,"Future-dated",IF(AND(B40=B39,C40&lt;C39),"Date out of sequence",IF(AND(G40&lt;&gt;"",G40&lt;=C40),"Follow-up not after interaction","")))</f>
        <v/>
      </c>
    </row>
    <row r="41" customFormat="false" ht="15" hidden="false" customHeight="false" outlineLevel="0" collapsed="false">
      <c r="A41" s="2" t="s">
        <v>1217</v>
      </c>
      <c r="B41" s="2" t="s">
        <v>98</v>
      </c>
      <c r="C41" s="4" t="n">
        <v>46229</v>
      </c>
      <c r="D41" s="2" t="s">
        <v>1161</v>
      </c>
      <c r="E41" s="2" t="s">
        <v>1162</v>
      </c>
      <c r="F41" s="2"/>
      <c r="G41" s="4"/>
      <c r="H41" s="2" t="str">
        <f aca="false">IF(C41&gt;CRM_Dashboard!$B$3,"Future-dated",IF(AND(B41=B40,C41&lt;C40),"Date out of sequence",IF(AND(G41&lt;&gt;"",G41&lt;=C41),"Follow-up not after interaction","")))</f>
        <v/>
      </c>
    </row>
    <row r="42" customFormat="false" ht="15" hidden="false" customHeight="false" outlineLevel="0" collapsed="false">
      <c r="A42" s="2" t="s">
        <v>1218</v>
      </c>
      <c r="B42" s="2" t="s">
        <v>98</v>
      </c>
      <c r="C42" s="4" t="n">
        <v>46229</v>
      </c>
      <c r="D42" s="2" t="s">
        <v>1161</v>
      </c>
      <c r="E42" s="2" t="s">
        <v>1162</v>
      </c>
      <c r="F42" s="2"/>
      <c r="G42" s="4"/>
      <c r="H42" s="2" t="str">
        <f aca="false">IF(C42&gt;CRM_Dashboard!$B$3,"Future-dated",IF(AND(B42=B41,C42&lt;C41),"Date out of sequence",IF(AND(G42&lt;&gt;"",G42&lt;=C42),"Follow-up not after interaction","")))</f>
        <v/>
      </c>
    </row>
    <row r="43" customFormat="false" ht="15" hidden="false" customHeight="false" outlineLevel="0" collapsed="false">
      <c r="A43" s="2" t="s">
        <v>1219</v>
      </c>
      <c r="B43" s="2" t="s">
        <v>98</v>
      </c>
      <c r="C43" s="4" t="n">
        <v>46229</v>
      </c>
      <c r="D43" s="2" t="s">
        <v>1161</v>
      </c>
      <c r="E43" s="2" t="s">
        <v>1176</v>
      </c>
      <c r="F43" s="2"/>
      <c r="G43" s="4"/>
      <c r="H43" s="2" t="str">
        <f aca="false">IF(C43&gt;CRM_Dashboard!$B$3,"Future-dated",IF(AND(B43=B42,C43&lt;C42),"Date out of sequence",IF(AND(G43&lt;&gt;"",G43&lt;=C43),"Follow-up not after interaction","")))</f>
        <v/>
      </c>
    </row>
    <row r="44" customFormat="false" ht="15" hidden="false" customHeight="false" outlineLevel="0" collapsed="false">
      <c r="A44" s="2" t="s">
        <v>1220</v>
      </c>
      <c r="B44" s="2" t="s">
        <v>98</v>
      </c>
      <c r="C44" s="4" t="n">
        <v>46234</v>
      </c>
      <c r="D44" s="2" t="s">
        <v>1161</v>
      </c>
      <c r="E44" s="2" t="s">
        <v>1179</v>
      </c>
      <c r="F44" s="2" t="s">
        <v>1209</v>
      </c>
      <c r="G44" s="4"/>
      <c r="H44" s="2" t="str">
        <f aca="false">IF(C44&gt;CRM_Dashboard!$B$3,"Future-dated",IF(AND(B44=B43,C44&lt;C43),"Date out of sequence",IF(AND(G44&lt;&gt;"",G44&lt;=C44),"Follow-up not after interaction","")))</f>
        <v/>
      </c>
    </row>
    <row r="45" customFormat="false" ht="15" hidden="false" customHeight="false" outlineLevel="0" collapsed="false">
      <c r="A45" s="2" t="s">
        <v>1221</v>
      </c>
      <c r="B45" s="2" t="s">
        <v>102</v>
      </c>
      <c r="C45" s="4" t="n">
        <v>46235</v>
      </c>
      <c r="D45" s="2" t="s">
        <v>1161</v>
      </c>
      <c r="E45" s="2" t="s">
        <v>1176</v>
      </c>
      <c r="F45" s="2"/>
      <c r="G45" s="4"/>
      <c r="H45" s="2" t="str">
        <f aca="false">IF(C45&gt;CRM_Dashboard!$B$3,"Future-dated",IF(AND(B45=B44,C45&lt;C44),"Date out of sequence",IF(AND(G45&lt;&gt;"",G45&lt;=C45),"Follow-up not after interaction","")))</f>
        <v/>
      </c>
    </row>
    <row r="46" customFormat="false" ht="15" hidden="false" customHeight="false" outlineLevel="0" collapsed="false">
      <c r="A46" s="2" t="s">
        <v>1222</v>
      </c>
      <c r="B46" s="2" t="s">
        <v>102</v>
      </c>
      <c r="C46" s="4" t="n">
        <v>46237</v>
      </c>
      <c r="D46" s="2" t="s">
        <v>1161</v>
      </c>
      <c r="E46" s="2" t="s">
        <v>1176</v>
      </c>
      <c r="F46" s="2" t="s">
        <v>1195</v>
      </c>
      <c r="G46" s="4" t="n">
        <v>46235</v>
      </c>
      <c r="H46" s="2" t="str">
        <f aca="false">IF(C46&gt;CRM_Dashboard!$B$3,"Future-dated",IF(AND(B46=B45,C46&lt;C45),"Date out of sequence",IF(AND(G46&lt;&gt;"",G46&lt;=C46),"Follow-up not after interaction","")))</f>
        <v>Follow-up not after interaction</v>
      </c>
    </row>
    <row r="47" customFormat="false" ht="15" hidden="false" customHeight="false" outlineLevel="0" collapsed="false">
      <c r="A47" s="2" t="s">
        <v>1223</v>
      </c>
      <c r="B47" s="2" t="s">
        <v>108</v>
      </c>
      <c r="C47" s="4" t="n">
        <v>46276</v>
      </c>
      <c r="D47" s="2" t="s">
        <v>1161</v>
      </c>
      <c r="E47" s="2" t="s">
        <v>1162</v>
      </c>
      <c r="F47" s="2"/>
      <c r="G47" s="4"/>
      <c r="H47" s="2" t="str">
        <f aca="false">IF(C47&gt;CRM_Dashboard!$B$3,"Future-dated",IF(AND(B47=B46,C47&lt;C46),"Date out of sequence",IF(AND(G47&lt;&gt;"",G47&lt;=C47),"Follow-up not after interaction","")))</f>
        <v/>
      </c>
    </row>
    <row r="48" customFormat="false" ht="15" hidden="false" customHeight="false" outlineLevel="0" collapsed="false">
      <c r="A48" s="2" t="s">
        <v>1224</v>
      </c>
      <c r="B48" s="2" t="s">
        <v>108</v>
      </c>
      <c r="C48" s="4" t="n">
        <v>46280</v>
      </c>
      <c r="D48" s="2" t="s">
        <v>1161</v>
      </c>
      <c r="E48" s="2" t="s">
        <v>1173</v>
      </c>
      <c r="F48" s="2"/>
      <c r="G48" s="4"/>
      <c r="H48" s="2" t="str">
        <f aca="false">IF(C48&gt;CRM_Dashboard!$B$3,"Future-dated",IF(AND(B48=B47,C48&lt;C47),"Date out of sequence",IF(AND(G48&lt;&gt;"",G48&lt;=C48),"Follow-up not after interaction","")))</f>
        <v/>
      </c>
    </row>
    <row r="49" customFormat="false" ht="15" hidden="false" customHeight="false" outlineLevel="0" collapsed="false">
      <c r="A49" s="2" t="s">
        <v>1225</v>
      </c>
      <c r="B49" s="2" t="s">
        <v>108</v>
      </c>
      <c r="C49" s="4" t="n">
        <v>46280</v>
      </c>
      <c r="D49" s="2" t="s">
        <v>1161</v>
      </c>
      <c r="E49" s="2" t="s">
        <v>1171</v>
      </c>
      <c r="F49" s="2"/>
      <c r="G49" s="4"/>
      <c r="H49" s="2" t="str">
        <f aca="false">IF(C49&gt;CRM_Dashboard!$B$3,"Future-dated",IF(AND(B49=B48,C49&lt;C48),"Date out of sequence",IF(AND(G49&lt;&gt;"",G49&lt;=C49),"Follow-up not after interaction","")))</f>
        <v/>
      </c>
    </row>
    <row r="50" customFormat="false" ht="15" hidden="false" customHeight="false" outlineLevel="0" collapsed="false">
      <c r="A50" s="2" t="s">
        <v>1226</v>
      </c>
      <c r="B50" s="2" t="s">
        <v>108</v>
      </c>
      <c r="C50" s="4" t="n">
        <v>46276</v>
      </c>
      <c r="D50" s="2" t="s">
        <v>1161</v>
      </c>
      <c r="E50" s="2" t="s">
        <v>1167</v>
      </c>
      <c r="F50" s="2" t="s">
        <v>1168</v>
      </c>
      <c r="G50" s="4" t="n">
        <v>46281</v>
      </c>
      <c r="H50" s="2" t="str">
        <f aca="false">IF(C50&gt;CRM_Dashboard!$B$3,"Future-dated",IF(AND(B50=B49,C50&lt;C49),"Date out of sequence",IF(AND(G50&lt;&gt;"",G50&lt;=C50),"Follow-up not after interaction","")))</f>
        <v>Date out of sequence</v>
      </c>
    </row>
    <row r="51" customFormat="false" ht="15" hidden="false" customHeight="false" outlineLevel="0" collapsed="false">
      <c r="A51" s="2" t="s">
        <v>1227</v>
      </c>
      <c r="B51" s="2" t="s">
        <v>113</v>
      </c>
      <c r="C51" s="4" t="n">
        <v>46217</v>
      </c>
      <c r="D51" s="2" t="s">
        <v>1161</v>
      </c>
      <c r="E51" s="2" t="s">
        <v>1162</v>
      </c>
      <c r="F51" s="2"/>
      <c r="G51" s="4"/>
      <c r="H51" s="2" t="str">
        <f aca="false">IF(C51&gt;CRM_Dashboard!$B$3,"Future-dated",IF(AND(B51=B50,C51&lt;C50),"Date out of sequence",IF(AND(G51&lt;&gt;"",G51&lt;=C51),"Follow-up not after interaction","")))</f>
        <v/>
      </c>
    </row>
    <row r="52" customFormat="false" ht="15" hidden="false" customHeight="false" outlineLevel="0" collapsed="false">
      <c r="A52" s="2" t="s">
        <v>1228</v>
      </c>
      <c r="B52" s="2" t="s">
        <v>113</v>
      </c>
      <c r="C52" s="4" t="n">
        <v>46214</v>
      </c>
      <c r="D52" s="2" t="s">
        <v>1161</v>
      </c>
      <c r="E52" s="2" t="s">
        <v>1162</v>
      </c>
      <c r="F52" s="2" t="s">
        <v>1209</v>
      </c>
      <c r="G52" s="4"/>
      <c r="H52" s="2" t="str">
        <f aca="false">IF(C52&gt;CRM_Dashboard!$B$3,"Future-dated",IF(AND(B52=B51,C52&lt;C51),"Date out of sequence",IF(AND(G52&lt;&gt;"",G52&lt;=C52),"Follow-up not after interaction","")))</f>
        <v>Date out of sequence</v>
      </c>
    </row>
    <row r="53" customFormat="false" ht="15" hidden="false" customHeight="false" outlineLevel="0" collapsed="false">
      <c r="A53" s="2" t="s">
        <v>1229</v>
      </c>
      <c r="B53" s="2" t="s">
        <v>117</v>
      </c>
      <c r="C53" s="4" t="n">
        <v>46261</v>
      </c>
      <c r="D53" s="2" t="s">
        <v>1161</v>
      </c>
      <c r="E53" s="2" t="s">
        <v>1185</v>
      </c>
      <c r="F53" s="2"/>
      <c r="G53" s="4"/>
      <c r="H53" s="2" t="str">
        <f aca="false">IF(C53&gt;CRM_Dashboard!$B$3,"Future-dated",IF(AND(B53=B52,C53&lt;C52),"Date out of sequence",IF(AND(G53&lt;&gt;"",G53&lt;=C53),"Follow-up not after interaction","")))</f>
        <v/>
      </c>
    </row>
    <row r="54" customFormat="false" ht="15" hidden="false" customHeight="false" outlineLevel="0" collapsed="false">
      <c r="A54" s="2" t="s">
        <v>1230</v>
      </c>
      <c r="B54" s="2" t="s">
        <v>117</v>
      </c>
      <c r="C54" s="4" t="n">
        <v>46257</v>
      </c>
      <c r="D54" s="2" t="s">
        <v>1161</v>
      </c>
      <c r="E54" s="2" t="s">
        <v>1162</v>
      </c>
      <c r="F54" s="2"/>
      <c r="G54" s="4"/>
      <c r="H54" s="2" t="str">
        <f aca="false">IF(C54&gt;CRM_Dashboard!$B$3,"Future-dated",IF(AND(B54=B53,C54&lt;C53),"Date out of sequence",IF(AND(G54&lt;&gt;"",G54&lt;=C54),"Follow-up not after interaction","")))</f>
        <v>Date out of sequence</v>
      </c>
    </row>
    <row r="55" customFormat="false" ht="15" hidden="false" customHeight="false" outlineLevel="0" collapsed="false">
      <c r="A55" s="2" t="s">
        <v>1231</v>
      </c>
      <c r="B55" s="2" t="s">
        <v>117</v>
      </c>
      <c r="C55" s="4" t="n">
        <v>46264</v>
      </c>
      <c r="D55" s="2" t="s">
        <v>1161</v>
      </c>
      <c r="E55" s="2" t="s">
        <v>1188</v>
      </c>
      <c r="F55" s="2" t="s">
        <v>1165</v>
      </c>
      <c r="G55" s="4"/>
      <c r="H55" s="2" t="str">
        <f aca="false">IF(C55&gt;CRM_Dashboard!$B$3,"Future-dated",IF(AND(B55=B54,C55&lt;C54),"Date out of sequence",IF(AND(G55&lt;&gt;"",G55&lt;=C55),"Follow-up not after interaction","")))</f>
        <v/>
      </c>
    </row>
    <row r="56" customFormat="false" ht="15" hidden="false" customHeight="false" outlineLevel="0" collapsed="false">
      <c r="A56" s="2" t="s">
        <v>1232</v>
      </c>
      <c r="B56" s="2" t="s">
        <v>122</v>
      </c>
      <c r="C56" s="4" t="n">
        <v>46286</v>
      </c>
      <c r="D56" s="2" t="s">
        <v>1161</v>
      </c>
      <c r="E56" s="2" t="s">
        <v>1162</v>
      </c>
      <c r="F56" s="2" t="s">
        <v>1195</v>
      </c>
      <c r="G56" s="4"/>
      <c r="H56" s="2" t="str">
        <f aca="false">IF(C56&gt;CRM_Dashboard!$B$3,"Future-dated",IF(AND(B56=B55,C56&lt;C55),"Date out of sequence",IF(AND(G56&lt;&gt;"",G56&lt;=C56),"Follow-up not after interaction","")))</f>
        <v/>
      </c>
    </row>
    <row r="57" customFormat="false" ht="15" hidden="false" customHeight="false" outlineLevel="0" collapsed="false">
      <c r="A57" s="2" t="s">
        <v>1233</v>
      </c>
      <c r="B57" s="2" t="s">
        <v>126</v>
      </c>
      <c r="C57" s="4" t="n">
        <v>46277</v>
      </c>
      <c r="D57" s="2" t="s">
        <v>1161</v>
      </c>
      <c r="E57" s="2" t="s">
        <v>1167</v>
      </c>
      <c r="F57" s="2"/>
      <c r="G57" s="4"/>
      <c r="H57" s="2" t="str">
        <f aca="false">IF(C57&gt;CRM_Dashboard!$B$3,"Future-dated",IF(AND(B57=B56,C57&lt;C56),"Date out of sequence",IF(AND(G57&lt;&gt;"",G57&lt;=C57),"Follow-up not after interaction","")))</f>
        <v/>
      </c>
    </row>
    <row r="58" customFormat="false" ht="15" hidden="false" customHeight="false" outlineLevel="0" collapsed="false">
      <c r="A58" s="2" t="s">
        <v>1234</v>
      </c>
      <c r="B58" s="2" t="s">
        <v>126</v>
      </c>
      <c r="C58" s="4" t="n">
        <v>46277</v>
      </c>
      <c r="D58" s="2" t="s">
        <v>1235</v>
      </c>
      <c r="E58" s="2" t="s">
        <v>1236</v>
      </c>
      <c r="F58" s="2"/>
      <c r="G58" s="4"/>
      <c r="H58" s="2" t="str">
        <f aca="false">IF(C58&gt;CRM_Dashboard!$B$3,"Future-dated",IF(AND(B58=B57,C58&lt;C57),"Date out of sequence",IF(AND(G58&lt;&gt;"",G58&lt;=C58),"Follow-up not after interaction","")))</f>
        <v/>
      </c>
    </row>
    <row r="59" customFormat="false" ht="15" hidden="false" customHeight="false" outlineLevel="0" collapsed="false">
      <c r="A59" s="2" t="s">
        <v>1237</v>
      </c>
      <c r="B59" s="2" t="s">
        <v>126</v>
      </c>
      <c r="C59" s="4" t="n">
        <v>46275</v>
      </c>
      <c r="D59" s="2" t="s">
        <v>1161</v>
      </c>
      <c r="E59" s="2" t="s">
        <v>1185</v>
      </c>
      <c r="F59" s="2" t="s">
        <v>1165</v>
      </c>
      <c r="G59" s="4"/>
      <c r="H59" s="2" t="str">
        <f aca="false">IF(C59&gt;CRM_Dashboard!$B$3,"Future-dated",IF(AND(B59=B58,C59&lt;C58),"Date out of sequence",IF(AND(G59&lt;&gt;"",G59&lt;=C59),"Follow-up not after interaction","")))</f>
        <v>Date out of sequence</v>
      </c>
    </row>
    <row r="60" customFormat="false" ht="15" hidden="false" customHeight="false" outlineLevel="0" collapsed="false">
      <c r="A60" s="2" t="s">
        <v>1238</v>
      </c>
      <c r="B60" s="2" t="s">
        <v>130</v>
      </c>
      <c r="C60" s="4" t="n">
        <v>46277</v>
      </c>
      <c r="D60" s="2" t="s">
        <v>1161</v>
      </c>
      <c r="E60" s="2" t="s">
        <v>1162</v>
      </c>
      <c r="F60" s="2"/>
      <c r="G60" s="4"/>
      <c r="H60" s="2" t="str">
        <f aca="false">IF(C60&gt;CRM_Dashboard!$B$3,"Future-dated",IF(AND(B60=B59,C60&lt;C59),"Date out of sequence",IF(AND(G60&lt;&gt;"",G60&lt;=C60),"Follow-up not after interaction","")))</f>
        <v/>
      </c>
    </row>
    <row r="61" customFormat="false" ht="15" hidden="false" customHeight="false" outlineLevel="0" collapsed="false">
      <c r="A61" s="2" t="s">
        <v>1239</v>
      </c>
      <c r="B61" s="2" t="s">
        <v>130</v>
      </c>
      <c r="C61" s="4" t="n">
        <v>46274</v>
      </c>
      <c r="D61" s="2" t="s">
        <v>1161</v>
      </c>
      <c r="E61" s="2" t="s">
        <v>1167</v>
      </c>
      <c r="F61" s="2" t="s">
        <v>1195</v>
      </c>
      <c r="G61" s="4" t="n">
        <v>46278</v>
      </c>
      <c r="H61" s="2" t="str">
        <f aca="false">IF(C61&gt;CRM_Dashboard!$B$3,"Future-dated",IF(AND(B61=B60,C61&lt;C60),"Date out of sequence",IF(AND(G61&lt;&gt;"",G61&lt;=C61),"Follow-up not after interaction","")))</f>
        <v>Date out of sequence</v>
      </c>
    </row>
    <row r="62" customFormat="false" ht="15" hidden="false" customHeight="false" outlineLevel="0" collapsed="false">
      <c r="A62" s="2" t="s">
        <v>1240</v>
      </c>
      <c r="B62" s="2" t="s">
        <v>134</v>
      </c>
      <c r="C62" s="4" t="n">
        <v>46214</v>
      </c>
      <c r="D62" s="2" t="s">
        <v>1161</v>
      </c>
      <c r="E62" s="2" t="s">
        <v>1167</v>
      </c>
      <c r="F62" s="2" t="s">
        <v>1168</v>
      </c>
      <c r="G62" s="4" t="n">
        <v>46211</v>
      </c>
      <c r="H62" s="2" t="str">
        <f aca="false">IF(C62&gt;CRM_Dashboard!$B$3,"Future-dated",IF(AND(B62=B61,C62&lt;C61),"Date out of sequence",IF(AND(G62&lt;&gt;"",G62&lt;=C62),"Follow-up not after interaction","")))</f>
        <v>Follow-up not after interaction</v>
      </c>
    </row>
    <row r="63" customFormat="false" ht="15" hidden="false" customHeight="false" outlineLevel="0" collapsed="false">
      <c r="A63" s="2" t="s">
        <v>1241</v>
      </c>
      <c r="B63" s="2" t="s">
        <v>138</v>
      </c>
      <c r="C63" s="4" t="n">
        <v>46274</v>
      </c>
      <c r="D63" s="2" t="s">
        <v>1161</v>
      </c>
      <c r="E63" s="2" t="s">
        <v>1167</v>
      </c>
      <c r="F63" s="2"/>
      <c r="G63" s="4"/>
      <c r="H63" s="2" t="str">
        <f aca="false">IF(C63&gt;CRM_Dashboard!$B$3,"Future-dated",IF(AND(B63=B62,C63&lt;C62),"Date out of sequence",IF(AND(G63&lt;&gt;"",G63&lt;=C63),"Follow-up not after interaction","")))</f>
        <v/>
      </c>
    </row>
    <row r="64" customFormat="false" ht="15" hidden="false" customHeight="false" outlineLevel="0" collapsed="false">
      <c r="A64" s="2" t="s">
        <v>1242</v>
      </c>
      <c r="B64" s="2" t="s">
        <v>138</v>
      </c>
      <c r="C64" s="4" t="n">
        <v>46278</v>
      </c>
      <c r="D64" s="2" t="s">
        <v>1161</v>
      </c>
      <c r="E64" s="2" t="s">
        <v>1162</v>
      </c>
      <c r="F64" s="2"/>
      <c r="G64" s="4"/>
      <c r="H64" s="2" t="str">
        <f aca="false">IF(C64&gt;CRM_Dashboard!$B$3,"Future-dated",IF(AND(B64=B63,C64&lt;C63),"Date out of sequence",IF(AND(G64&lt;&gt;"",G64&lt;=C64),"Follow-up not after interaction","")))</f>
        <v/>
      </c>
    </row>
    <row r="65" customFormat="false" ht="15" hidden="false" customHeight="false" outlineLevel="0" collapsed="false">
      <c r="A65" s="2" t="s">
        <v>1243</v>
      </c>
      <c r="B65" s="2" t="s">
        <v>138</v>
      </c>
      <c r="C65" s="4" t="n">
        <v>46280</v>
      </c>
      <c r="D65" s="2" t="s">
        <v>1161</v>
      </c>
      <c r="E65" s="2" t="s">
        <v>1171</v>
      </c>
      <c r="F65" s="2"/>
      <c r="G65" s="4"/>
      <c r="H65" s="2" t="str">
        <f aca="false">IF(C65&gt;CRM_Dashboard!$B$3,"Future-dated",IF(AND(B65=B64,C65&lt;C64),"Date out of sequence",IF(AND(G65&lt;&gt;"",G65&lt;=C65),"Follow-up not after interaction","")))</f>
        <v/>
      </c>
    </row>
    <row r="66" customFormat="false" ht="15" hidden="false" customHeight="false" outlineLevel="0" collapsed="false">
      <c r="A66" s="2" t="s">
        <v>1244</v>
      </c>
      <c r="B66" s="2" t="s">
        <v>138</v>
      </c>
      <c r="C66" s="4" t="n">
        <v>46283</v>
      </c>
      <c r="D66" s="2" t="s">
        <v>1161</v>
      </c>
      <c r="E66" s="2" t="s">
        <v>1188</v>
      </c>
      <c r="F66" s="2" t="s">
        <v>1209</v>
      </c>
      <c r="G66" s="4"/>
      <c r="H66" s="2" t="str">
        <f aca="false">IF(C66&gt;CRM_Dashboard!$B$3,"Future-dated",IF(AND(B66=B65,C66&lt;C65),"Date out of sequence",IF(AND(G66&lt;&gt;"",G66&lt;=C66),"Follow-up not after interaction","")))</f>
        <v/>
      </c>
    </row>
    <row r="67" customFormat="false" ht="15" hidden="false" customHeight="false" outlineLevel="0" collapsed="false">
      <c r="A67" s="2" t="s">
        <v>1245</v>
      </c>
      <c r="B67" s="2" t="s">
        <v>142</v>
      </c>
      <c r="C67" s="4" t="n">
        <v>46212</v>
      </c>
      <c r="D67" s="2" t="s">
        <v>1161</v>
      </c>
      <c r="E67" s="2" t="s">
        <v>1162</v>
      </c>
      <c r="F67" s="2"/>
      <c r="G67" s="4"/>
      <c r="H67" s="2" t="str">
        <f aca="false">IF(C67&gt;CRM_Dashboard!$B$3,"Future-dated",IF(AND(B67=B66,C67&lt;C66),"Date out of sequence",IF(AND(G67&lt;&gt;"",G67&lt;=C67),"Follow-up not after interaction","")))</f>
        <v/>
      </c>
    </row>
    <row r="68" customFormat="false" ht="15" hidden="false" customHeight="false" outlineLevel="0" collapsed="false">
      <c r="A68" s="2" t="s">
        <v>1246</v>
      </c>
      <c r="B68" s="2" t="s">
        <v>142</v>
      </c>
      <c r="C68" s="4" t="n">
        <v>46213</v>
      </c>
      <c r="D68" s="2" t="s">
        <v>1161</v>
      </c>
      <c r="E68" s="2" t="s">
        <v>1162</v>
      </c>
      <c r="F68" s="2"/>
      <c r="G68" s="4"/>
      <c r="H68" s="2" t="str">
        <f aca="false">IF(C68&gt;CRM_Dashboard!$B$3,"Future-dated",IF(AND(B68=B67,C68&lt;C67),"Date out of sequence",IF(AND(G68&lt;&gt;"",G68&lt;=C68),"Follow-up not after interaction","")))</f>
        <v/>
      </c>
    </row>
    <row r="69" customFormat="false" ht="15" hidden="false" customHeight="false" outlineLevel="0" collapsed="false">
      <c r="A69" s="2" t="s">
        <v>1247</v>
      </c>
      <c r="B69" s="2" t="s">
        <v>142</v>
      </c>
      <c r="C69" s="4" t="n">
        <v>46211</v>
      </c>
      <c r="D69" s="2" t="s">
        <v>1161</v>
      </c>
      <c r="E69" s="2" t="s">
        <v>1162</v>
      </c>
      <c r="F69" s="2" t="s">
        <v>1168</v>
      </c>
      <c r="G69" s="4"/>
      <c r="H69" s="2" t="str">
        <f aca="false">IF(C69&gt;CRM_Dashboard!$B$3,"Future-dated",IF(AND(B69=B68,C69&lt;C68),"Date out of sequence",IF(AND(G69&lt;&gt;"",G69&lt;=C69),"Follow-up not after interaction","")))</f>
        <v>Date out of sequence</v>
      </c>
    </row>
    <row r="70" customFormat="false" ht="15" hidden="false" customHeight="false" outlineLevel="0" collapsed="false">
      <c r="A70" s="2" t="s">
        <v>1248</v>
      </c>
      <c r="B70" s="2" t="s">
        <v>146</v>
      </c>
      <c r="C70" s="4" t="n">
        <v>46211</v>
      </c>
      <c r="D70" s="2" t="s">
        <v>1161</v>
      </c>
      <c r="E70" s="2" t="s">
        <v>1188</v>
      </c>
      <c r="F70" s="2"/>
      <c r="G70" s="4"/>
      <c r="H70" s="2" t="str">
        <f aca="false">IF(C70&gt;CRM_Dashboard!$B$3,"Future-dated",IF(AND(B70=B69,C70&lt;C69),"Date out of sequence",IF(AND(G70&lt;&gt;"",G70&lt;=C70),"Follow-up not after interaction","")))</f>
        <v/>
      </c>
    </row>
    <row r="71" customFormat="false" ht="15" hidden="false" customHeight="false" outlineLevel="0" collapsed="false">
      <c r="A71" s="2" t="s">
        <v>1249</v>
      </c>
      <c r="B71" s="2" t="s">
        <v>146</v>
      </c>
      <c r="C71" s="4" t="n">
        <v>46208</v>
      </c>
      <c r="D71" s="2" t="s">
        <v>1161</v>
      </c>
      <c r="E71" s="2" t="s">
        <v>1173</v>
      </c>
      <c r="F71" s="2" t="s">
        <v>1174</v>
      </c>
      <c r="G71" s="4" t="n">
        <v>46211</v>
      </c>
      <c r="H71" s="2" t="str">
        <f aca="false">IF(C71&gt;CRM_Dashboard!$B$3,"Future-dated",IF(AND(B71=B70,C71&lt;C70),"Date out of sequence",IF(AND(G71&lt;&gt;"",G71&lt;=C71),"Follow-up not after interaction","")))</f>
        <v>Date out of sequence</v>
      </c>
    </row>
    <row r="72" customFormat="false" ht="15" hidden="false" customHeight="false" outlineLevel="0" collapsed="false">
      <c r="A72" s="2" t="s">
        <v>1250</v>
      </c>
      <c r="B72" s="2" t="s">
        <v>150</v>
      </c>
      <c r="C72" s="4" t="n">
        <v>46263</v>
      </c>
      <c r="D72" s="2" t="s">
        <v>1161</v>
      </c>
      <c r="E72" s="2" t="s">
        <v>1173</v>
      </c>
      <c r="F72" s="2"/>
      <c r="G72" s="4"/>
      <c r="H72" s="2" t="str">
        <f aca="false">IF(C72&gt;CRM_Dashboard!$B$3,"Future-dated",IF(AND(B72=B71,C72&lt;C71),"Date out of sequence",IF(AND(G72&lt;&gt;"",G72&lt;=C72),"Follow-up not after interaction","")))</f>
        <v/>
      </c>
    </row>
    <row r="73" customFormat="false" ht="15" hidden="false" customHeight="false" outlineLevel="0" collapsed="false">
      <c r="A73" s="2" t="s">
        <v>1251</v>
      </c>
      <c r="B73" s="2" t="s">
        <v>150</v>
      </c>
      <c r="C73" s="4" t="n">
        <v>46262</v>
      </c>
      <c r="D73" s="2" t="s">
        <v>1161</v>
      </c>
      <c r="E73" s="2" t="s">
        <v>1252</v>
      </c>
      <c r="F73" s="2"/>
      <c r="G73" s="4"/>
      <c r="H73" s="2" t="str">
        <f aca="false">IF(C73&gt;CRM_Dashboard!$B$3,"Future-dated",IF(AND(B73=B72,C73&lt;C72),"Date out of sequence",IF(AND(G73&lt;&gt;"",G73&lt;=C73),"Follow-up not after interaction","")))</f>
        <v>Date out of sequence</v>
      </c>
    </row>
    <row r="74" customFormat="false" ht="15" hidden="false" customHeight="false" outlineLevel="0" collapsed="false">
      <c r="A74" s="2" t="s">
        <v>1253</v>
      </c>
      <c r="B74" s="2" t="s">
        <v>150</v>
      </c>
      <c r="C74" s="4" t="n">
        <v>46268</v>
      </c>
      <c r="D74" s="2" t="s">
        <v>1161</v>
      </c>
      <c r="E74" s="2" t="s">
        <v>1185</v>
      </c>
      <c r="F74" s="2" t="s">
        <v>1195</v>
      </c>
      <c r="G74" s="4"/>
      <c r="H74" s="2" t="str">
        <f aca="false">IF(C74&gt;CRM_Dashboard!$B$3,"Future-dated",IF(AND(B74=B73,C74&lt;C73),"Date out of sequence",IF(AND(G74&lt;&gt;"",G74&lt;=C74),"Follow-up not after interaction","")))</f>
        <v/>
      </c>
    </row>
    <row r="75" customFormat="false" ht="15" hidden="false" customHeight="false" outlineLevel="0" collapsed="false">
      <c r="A75" s="2" t="s">
        <v>1254</v>
      </c>
      <c r="B75" s="2" t="s">
        <v>153</v>
      </c>
      <c r="C75" s="4" t="n">
        <v>46273</v>
      </c>
      <c r="D75" s="2" t="s">
        <v>1161</v>
      </c>
      <c r="E75" s="2" t="s">
        <v>1167</v>
      </c>
      <c r="F75" s="2"/>
      <c r="G75" s="4"/>
      <c r="H75" s="2" t="str">
        <f aca="false">IF(C75&gt;CRM_Dashboard!$B$3,"Future-dated",IF(AND(B75=B74,C75&lt;C74),"Date out of sequence",IF(AND(G75&lt;&gt;"",G75&lt;=C75),"Follow-up not after interaction","")))</f>
        <v/>
      </c>
    </row>
    <row r="76" customFormat="false" ht="15" hidden="false" customHeight="false" outlineLevel="0" collapsed="false">
      <c r="A76" s="2" t="s">
        <v>1255</v>
      </c>
      <c r="B76" s="2" t="s">
        <v>153</v>
      </c>
      <c r="C76" s="4" t="n">
        <v>46273</v>
      </c>
      <c r="D76" s="2" t="s">
        <v>1161</v>
      </c>
      <c r="E76" s="2" t="s">
        <v>1252</v>
      </c>
      <c r="F76" s="2"/>
      <c r="G76" s="4"/>
      <c r="H76" s="2" t="str">
        <f aca="false">IF(C76&gt;CRM_Dashboard!$B$3,"Future-dated",IF(AND(B76=B75,C76&lt;C75),"Date out of sequence",IF(AND(G76&lt;&gt;"",G76&lt;=C76),"Follow-up not after interaction","")))</f>
        <v/>
      </c>
    </row>
    <row r="77" customFormat="false" ht="15" hidden="false" customHeight="false" outlineLevel="0" collapsed="false">
      <c r="A77" s="2" t="s">
        <v>1256</v>
      </c>
      <c r="B77" s="2" t="s">
        <v>153</v>
      </c>
      <c r="C77" s="4" t="n">
        <v>46274</v>
      </c>
      <c r="D77" s="2" t="s">
        <v>1161</v>
      </c>
      <c r="E77" s="2" t="s">
        <v>1173</v>
      </c>
      <c r="F77" s="2"/>
      <c r="G77" s="4"/>
      <c r="H77" s="2" t="str">
        <f aca="false">IF(C77&gt;CRM_Dashboard!$B$3,"Future-dated",IF(AND(B77=B76,C77&lt;C76),"Date out of sequence",IF(AND(G77&lt;&gt;"",G77&lt;=C77),"Follow-up not after interaction","")))</f>
        <v/>
      </c>
    </row>
    <row r="78" customFormat="false" ht="15" hidden="false" customHeight="false" outlineLevel="0" collapsed="false">
      <c r="A78" s="2" t="s">
        <v>1257</v>
      </c>
      <c r="B78" s="2" t="s">
        <v>153</v>
      </c>
      <c r="C78" s="4" t="n">
        <v>46277</v>
      </c>
      <c r="D78" s="2" t="s">
        <v>1161</v>
      </c>
      <c r="E78" s="2" t="s">
        <v>1162</v>
      </c>
      <c r="F78" s="2" t="s">
        <v>1203</v>
      </c>
      <c r="G78" s="4"/>
      <c r="H78" s="2" t="str">
        <f aca="false">IF(C78&gt;CRM_Dashboard!$B$3,"Future-dated",IF(AND(B78=B77,C78&lt;C77),"Date out of sequence",IF(AND(G78&lt;&gt;"",G78&lt;=C78),"Follow-up not after interaction","")))</f>
        <v/>
      </c>
    </row>
    <row r="79" customFormat="false" ht="15" hidden="false" customHeight="false" outlineLevel="0" collapsed="false">
      <c r="A79" s="2" t="s">
        <v>1258</v>
      </c>
      <c r="B79" s="2" t="s">
        <v>157</v>
      </c>
      <c r="C79" s="4" t="n">
        <v>46247</v>
      </c>
      <c r="D79" s="2" t="s">
        <v>1161</v>
      </c>
      <c r="E79" s="2" t="s">
        <v>1167</v>
      </c>
      <c r="F79" s="2"/>
      <c r="G79" s="4"/>
      <c r="H79" s="2" t="str">
        <f aca="false">IF(C79&gt;CRM_Dashboard!$B$3,"Future-dated",IF(AND(B79=B78,C79&lt;C78),"Date out of sequence",IF(AND(G79&lt;&gt;"",G79&lt;=C79),"Follow-up not after interaction","")))</f>
        <v/>
      </c>
    </row>
    <row r="80" customFormat="false" ht="15" hidden="false" customHeight="false" outlineLevel="0" collapsed="false">
      <c r="A80" s="2" t="s">
        <v>1259</v>
      </c>
      <c r="B80" s="2" t="s">
        <v>157</v>
      </c>
      <c r="C80" s="4" t="n">
        <v>46247</v>
      </c>
      <c r="D80" s="2" t="s">
        <v>1161</v>
      </c>
      <c r="E80" s="2" t="s">
        <v>1176</v>
      </c>
      <c r="F80" s="2"/>
      <c r="G80" s="4"/>
      <c r="H80" s="2" t="str">
        <f aca="false">IF(C80&gt;CRM_Dashboard!$B$3,"Future-dated",IF(AND(B80=B79,C80&lt;C79),"Date out of sequence",IF(AND(G80&lt;&gt;"",G80&lt;=C80),"Follow-up not after interaction","")))</f>
        <v/>
      </c>
    </row>
    <row r="81" customFormat="false" ht="15" hidden="false" customHeight="false" outlineLevel="0" collapsed="false">
      <c r="A81" s="2" t="s">
        <v>1260</v>
      </c>
      <c r="B81" s="2" t="s">
        <v>157</v>
      </c>
      <c r="C81" s="4" t="n">
        <v>46247</v>
      </c>
      <c r="D81" s="2" t="s">
        <v>1161</v>
      </c>
      <c r="E81" s="2" t="s">
        <v>1176</v>
      </c>
      <c r="F81" s="2"/>
      <c r="G81" s="4"/>
      <c r="H81" s="2" t="str">
        <f aca="false">IF(C81&gt;CRM_Dashboard!$B$3,"Future-dated",IF(AND(B81=B80,C81&lt;C80),"Date out of sequence",IF(AND(G81&lt;&gt;"",G81&lt;=C81),"Follow-up not after interaction","")))</f>
        <v/>
      </c>
    </row>
    <row r="82" customFormat="false" ht="15" hidden="false" customHeight="false" outlineLevel="0" collapsed="false">
      <c r="A82" s="2" t="s">
        <v>1261</v>
      </c>
      <c r="B82" s="2" t="s">
        <v>157</v>
      </c>
      <c r="C82" s="4" t="n">
        <v>46248</v>
      </c>
      <c r="D82" s="2" t="s">
        <v>1161</v>
      </c>
      <c r="E82" s="2" t="s">
        <v>1167</v>
      </c>
      <c r="F82" s="2" t="s">
        <v>1165</v>
      </c>
      <c r="G82" s="4" t="n">
        <v>46251</v>
      </c>
      <c r="H82" s="2" t="str">
        <f aca="false">IF(C82&gt;CRM_Dashboard!$B$3,"Future-dated",IF(AND(B82=B81,C82&lt;C81),"Date out of sequence",IF(AND(G82&lt;&gt;"",G82&lt;=C82),"Follow-up not after interaction","")))</f>
        <v/>
      </c>
    </row>
    <row r="83" customFormat="false" ht="15" hidden="false" customHeight="false" outlineLevel="0" collapsed="false">
      <c r="A83" s="2" t="s">
        <v>1262</v>
      </c>
      <c r="B83" s="2" t="s">
        <v>161</v>
      </c>
      <c r="C83" s="4" t="n">
        <v>46249</v>
      </c>
      <c r="D83" s="2" t="s">
        <v>1161</v>
      </c>
      <c r="E83" s="2" t="s">
        <v>1167</v>
      </c>
      <c r="F83" s="2"/>
      <c r="G83" s="4"/>
      <c r="H83" s="2" t="str">
        <f aca="false">IF(C83&gt;CRM_Dashboard!$B$3,"Future-dated",IF(AND(B83=B82,C83&lt;C82),"Date out of sequence",IF(AND(G83&lt;&gt;"",G83&lt;=C83),"Follow-up not after interaction","")))</f>
        <v/>
      </c>
    </row>
    <row r="84" customFormat="false" ht="15" hidden="false" customHeight="false" outlineLevel="0" collapsed="false">
      <c r="A84" s="2" t="s">
        <v>1263</v>
      </c>
      <c r="B84" s="2" t="s">
        <v>161</v>
      </c>
      <c r="C84" s="4" t="n">
        <v>46248</v>
      </c>
      <c r="D84" s="2" t="s">
        <v>1161</v>
      </c>
      <c r="E84" s="2" t="s">
        <v>1162</v>
      </c>
      <c r="F84" s="2"/>
      <c r="G84" s="4"/>
      <c r="H84" s="2" t="str">
        <f aca="false">IF(C84&gt;CRM_Dashboard!$B$3,"Future-dated",IF(AND(B84=B83,C84&lt;C83),"Date out of sequence",IF(AND(G84&lt;&gt;"",G84&lt;=C84),"Follow-up not after interaction","")))</f>
        <v>Date out of sequence</v>
      </c>
    </row>
    <row r="85" customFormat="false" ht="15" hidden="false" customHeight="false" outlineLevel="0" collapsed="false">
      <c r="A85" s="2" t="s">
        <v>1264</v>
      </c>
      <c r="B85" s="2" t="s">
        <v>161</v>
      </c>
      <c r="C85" s="4" t="n">
        <v>46250</v>
      </c>
      <c r="D85" s="2" t="s">
        <v>1161</v>
      </c>
      <c r="E85" s="2" t="s">
        <v>1205</v>
      </c>
      <c r="F85" s="2" t="s">
        <v>1168</v>
      </c>
      <c r="G85" s="4"/>
      <c r="H85" s="2" t="str">
        <f aca="false">IF(C85&gt;CRM_Dashboard!$B$3,"Future-dated",IF(AND(B85=B84,C85&lt;C84),"Date out of sequence",IF(AND(G85&lt;&gt;"",G85&lt;=C85),"Follow-up not after interaction","")))</f>
        <v/>
      </c>
    </row>
    <row r="86" customFormat="false" ht="15" hidden="false" customHeight="false" outlineLevel="0" collapsed="false">
      <c r="A86" s="2" t="s">
        <v>1265</v>
      </c>
      <c r="B86" s="2" t="s">
        <v>165</v>
      </c>
      <c r="C86" s="4" t="n">
        <v>46292</v>
      </c>
      <c r="D86" s="2" t="s">
        <v>1161</v>
      </c>
      <c r="E86" s="2" t="s">
        <v>1167</v>
      </c>
      <c r="F86" s="2"/>
      <c r="G86" s="4"/>
      <c r="H86" s="2" t="str">
        <f aca="false">IF(C86&gt;CRM_Dashboard!$B$3,"Future-dated",IF(AND(B86=B85,C86&lt;C85),"Date out of sequence",IF(AND(G86&lt;&gt;"",G86&lt;=C86),"Follow-up not after interaction","")))</f>
        <v/>
      </c>
    </row>
    <row r="87" customFormat="false" ht="15" hidden="false" customHeight="false" outlineLevel="0" collapsed="false">
      <c r="A87" s="2" t="s">
        <v>1266</v>
      </c>
      <c r="B87" s="2" t="s">
        <v>165</v>
      </c>
      <c r="C87" s="4" t="n">
        <v>46295</v>
      </c>
      <c r="D87" s="2" t="s">
        <v>1161</v>
      </c>
      <c r="E87" s="2" t="s">
        <v>1205</v>
      </c>
      <c r="F87" s="2"/>
      <c r="G87" s="4"/>
      <c r="H87" s="2" t="str">
        <f aca="false">IF(C87&gt;CRM_Dashboard!$B$3,"Future-dated",IF(AND(B87=B86,C87&lt;C86),"Date out of sequence",IF(AND(G87&lt;&gt;"",G87&lt;=C87),"Follow-up not after interaction","")))</f>
        <v>Future-dated</v>
      </c>
    </row>
    <row r="88" customFormat="false" ht="15" hidden="false" customHeight="false" outlineLevel="0" collapsed="false">
      <c r="A88" s="2" t="s">
        <v>1267</v>
      </c>
      <c r="B88" s="2" t="s">
        <v>165</v>
      </c>
      <c r="C88" s="4" t="n">
        <v>46291</v>
      </c>
      <c r="D88" s="2" t="s">
        <v>1161</v>
      </c>
      <c r="E88" s="2" t="s">
        <v>1167</v>
      </c>
      <c r="F88" s="2"/>
      <c r="G88" s="4"/>
      <c r="H88" s="2" t="str">
        <f aca="false">IF(C88&gt;CRM_Dashboard!$B$3,"Future-dated",IF(AND(B88=B87,C88&lt;C87),"Date out of sequence",IF(AND(G88&lt;&gt;"",G88&lt;=C88),"Follow-up not after interaction","")))</f>
        <v>Date out of sequence</v>
      </c>
    </row>
    <row r="89" customFormat="false" ht="15" hidden="false" customHeight="false" outlineLevel="0" collapsed="false">
      <c r="A89" s="2" t="s">
        <v>1268</v>
      </c>
      <c r="B89" s="2" t="s">
        <v>165</v>
      </c>
      <c r="C89" s="4" t="n">
        <v>46291</v>
      </c>
      <c r="D89" s="2" t="s">
        <v>1161</v>
      </c>
      <c r="E89" s="2" t="s">
        <v>1173</v>
      </c>
      <c r="F89" s="2" t="s">
        <v>1183</v>
      </c>
      <c r="G89" s="4" t="n">
        <v>46290</v>
      </c>
      <c r="H89" s="2" t="str">
        <f aca="false">IF(C89&gt;CRM_Dashboard!$B$3,"Future-dated",IF(AND(B89=B88,C89&lt;C88),"Date out of sequence",IF(AND(G89&lt;&gt;"",G89&lt;=C89),"Follow-up not after interaction","")))</f>
        <v>Follow-up not after interaction</v>
      </c>
    </row>
    <row r="90" customFormat="false" ht="15" hidden="false" customHeight="false" outlineLevel="0" collapsed="false">
      <c r="A90" s="2" t="s">
        <v>1269</v>
      </c>
      <c r="B90" s="2" t="s">
        <v>170</v>
      </c>
      <c r="C90" s="4" t="n">
        <v>46263</v>
      </c>
      <c r="D90" s="2" t="s">
        <v>1161</v>
      </c>
      <c r="E90" s="2" t="s">
        <v>1176</v>
      </c>
      <c r="F90" s="2"/>
      <c r="G90" s="4"/>
      <c r="H90" s="2" t="str">
        <f aca="false">IF(C90&gt;CRM_Dashboard!$B$3,"Future-dated",IF(AND(B90=B89,C90&lt;C89),"Date out of sequence",IF(AND(G90&lt;&gt;"",G90&lt;=C90),"Follow-up not after interaction","")))</f>
        <v/>
      </c>
    </row>
    <row r="91" customFormat="false" ht="15" hidden="false" customHeight="false" outlineLevel="0" collapsed="false">
      <c r="A91" s="2" t="s">
        <v>1270</v>
      </c>
      <c r="B91" s="2" t="s">
        <v>170</v>
      </c>
      <c r="C91" s="4" t="n">
        <v>46264</v>
      </c>
      <c r="D91" s="2" t="s">
        <v>1161</v>
      </c>
      <c r="E91" s="2" t="s">
        <v>1252</v>
      </c>
      <c r="F91" s="2" t="s">
        <v>1183</v>
      </c>
      <c r="G91" s="4"/>
      <c r="H91" s="2" t="str">
        <f aca="false">IF(C91&gt;CRM_Dashboard!$B$3,"Future-dated",IF(AND(B91=B90,C91&lt;C90),"Date out of sequence",IF(AND(G91&lt;&gt;"",G91&lt;=C91),"Follow-up not after interaction","")))</f>
        <v/>
      </c>
    </row>
    <row r="92" customFormat="false" ht="15" hidden="false" customHeight="false" outlineLevel="0" collapsed="false">
      <c r="A92" s="2" t="s">
        <v>1271</v>
      </c>
      <c r="B92" s="2" t="s">
        <v>174</v>
      </c>
      <c r="C92" s="4" t="n">
        <v>46238</v>
      </c>
      <c r="D92" s="2" t="s">
        <v>1161</v>
      </c>
      <c r="E92" s="2" t="s">
        <v>1162</v>
      </c>
      <c r="F92" s="2"/>
      <c r="G92" s="4"/>
      <c r="H92" s="2" t="str">
        <f aca="false">IF(C92&gt;CRM_Dashboard!$B$3,"Future-dated",IF(AND(B92=B91,C92&lt;C91),"Date out of sequence",IF(AND(G92&lt;&gt;"",G92&lt;=C92),"Follow-up not after interaction","")))</f>
        <v/>
      </c>
    </row>
    <row r="93" customFormat="false" ht="15" hidden="false" customHeight="false" outlineLevel="0" collapsed="false">
      <c r="A93" s="2" t="s">
        <v>1272</v>
      </c>
      <c r="B93" s="2" t="s">
        <v>174</v>
      </c>
      <c r="C93" s="4" t="n">
        <v>46236</v>
      </c>
      <c r="D93" s="2" t="s">
        <v>1161</v>
      </c>
      <c r="E93" s="2" t="s">
        <v>1162</v>
      </c>
      <c r="F93" s="2"/>
      <c r="G93" s="4"/>
      <c r="H93" s="2" t="str">
        <f aca="false">IF(C93&gt;CRM_Dashboard!$B$3,"Future-dated",IF(AND(B93=B92,C93&lt;C92),"Date out of sequence",IF(AND(G93&lt;&gt;"",G93&lt;=C93),"Follow-up not after interaction","")))</f>
        <v>Date out of sequence</v>
      </c>
    </row>
    <row r="94" customFormat="false" ht="15" hidden="false" customHeight="false" outlineLevel="0" collapsed="false">
      <c r="A94" s="2" t="s">
        <v>1273</v>
      </c>
      <c r="B94" s="2" t="s">
        <v>174</v>
      </c>
      <c r="C94" s="4" t="n">
        <v>46242</v>
      </c>
      <c r="D94" s="2" t="s">
        <v>1161</v>
      </c>
      <c r="E94" s="2" t="s">
        <v>1162</v>
      </c>
      <c r="F94" s="2" t="s">
        <v>1177</v>
      </c>
      <c r="G94" s="4"/>
      <c r="H94" s="2" t="str">
        <f aca="false">IF(C94&gt;CRM_Dashboard!$B$3,"Future-dated",IF(AND(B94=B93,C94&lt;C93),"Date out of sequence",IF(AND(G94&lt;&gt;"",G94&lt;=C94),"Follow-up not after interaction","")))</f>
        <v/>
      </c>
    </row>
    <row r="95" customFormat="false" ht="15" hidden="false" customHeight="false" outlineLevel="0" collapsed="false">
      <c r="A95" s="2" t="s">
        <v>1274</v>
      </c>
      <c r="B95" s="2" t="s">
        <v>178</v>
      </c>
      <c r="C95" s="4" t="n">
        <v>46255</v>
      </c>
      <c r="D95" s="2" t="s">
        <v>1161</v>
      </c>
      <c r="E95" s="2" t="s">
        <v>1176</v>
      </c>
      <c r="F95" s="2"/>
      <c r="G95" s="4"/>
      <c r="H95" s="2" t="str">
        <f aca="false">IF(C95&gt;CRM_Dashboard!$B$3,"Future-dated",IF(AND(B95=B94,C95&lt;C94),"Date out of sequence",IF(AND(G95&lt;&gt;"",G95&lt;=C95),"Follow-up not after interaction","")))</f>
        <v/>
      </c>
    </row>
    <row r="96" customFormat="false" ht="15" hidden="false" customHeight="false" outlineLevel="0" collapsed="false">
      <c r="A96" s="2" t="s">
        <v>1275</v>
      </c>
      <c r="B96" s="2" t="s">
        <v>178</v>
      </c>
      <c r="C96" s="4" t="n">
        <v>46258</v>
      </c>
      <c r="D96" s="2" t="s">
        <v>1161</v>
      </c>
      <c r="E96" s="2" t="s">
        <v>1162</v>
      </c>
      <c r="F96" s="2"/>
      <c r="G96" s="4"/>
      <c r="H96" s="2" t="str">
        <f aca="false">IF(C96&gt;CRM_Dashboard!$B$3,"Future-dated",IF(AND(B96=B95,C96&lt;C95),"Date out of sequence",IF(AND(G96&lt;&gt;"",G96&lt;=C96),"Follow-up not after interaction","")))</f>
        <v/>
      </c>
    </row>
    <row r="97" customFormat="false" ht="15" hidden="false" customHeight="false" outlineLevel="0" collapsed="false">
      <c r="A97" s="2" t="s">
        <v>1276</v>
      </c>
      <c r="B97" s="2" t="s">
        <v>178</v>
      </c>
      <c r="C97" s="4" t="n">
        <v>46261</v>
      </c>
      <c r="D97" s="2" t="s">
        <v>1161</v>
      </c>
      <c r="E97" s="2" t="s">
        <v>1188</v>
      </c>
      <c r="F97" s="2"/>
      <c r="G97" s="4"/>
      <c r="H97" s="2" t="str">
        <f aca="false">IF(C97&gt;CRM_Dashboard!$B$3,"Future-dated",IF(AND(B97=B96,C97&lt;C96),"Date out of sequence",IF(AND(G97&lt;&gt;"",G97&lt;=C97),"Follow-up not after interaction","")))</f>
        <v/>
      </c>
    </row>
    <row r="98" customFormat="false" ht="15" hidden="false" customHeight="false" outlineLevel="0" collapsed="false">
      <c r="A98" s="2" t="s">
        <v>1277</v>
      </c>
      <c r="B98" s="2" t="s">
        <v>178</v>
      </c>
      <c r="C98" s="4" t="n">
        <v>46263</v>
      </c>
      <c r="D98" s="2" t="s">
        <v>1161</v>
      </c>
      <c r="E98" s="2" t="s">
        <v>1205</v>
      </c>
      <c r="F98" s="2" t="s">
        <v>1174</v>
      </c>
      <c r="G98" s="4"/>
      <c r="H98" s="2" t="str">
        <f aca="false">IF(C98&gt;CRM_Dashboard!$B$3,"Future-dated",IF(AND(B98=B97,C98&lt;C97),"Date out of sequence",IF(AND(G98&lt;&gt;"",G98&lt;=C98),"Follow-up not after interaction","")))</f>
        <v/>
      </c>
    </row>
    <row r="99" customFormat="false" ht="15" hidden="false" customHeight="false" outlineLevel="0" collapsed="false">
      <c r="A99" s="2" t="s">
        <v>1278</v>
      </c>
      <c r="B99" s="2" t="s">
        <v>182</v>
      </c>
      <c r="C99" s="4" t="n">
        <v>46236</v>
      </c>
      <c r="D99" s="2" t="s">
        <v>1161</v>
      </c>
      <c r="E99" s="2" t="s">
        <v>1176</v>
      </c>
      <c r="F99" s="2" t="s">
        <v>1203</v>
      </c>
      <c r="G99" s="4" t="n">
        <v>46244</v>
      </c>
      <c r="H99" s="2" t="str">
        <f aca="false">IF(C99&gt;CRM_Dashboard!$B$3,"Future-dated",IF(AND(B99=B98,C99&lt;C98),"Date out of sequence",IF(AND(G99&lt;&gt;"",G99&lt;=C99),"Follow-up not after interaction","")))</f>
        <v/>
      </c>
    </row>
    <row r="100" customFormat="false" ht="15" hidden="false" customHeight="false" outlineLevel="0" collapsed="false">
      <c r="A100" s="2" t="s">
        <v>1279</v>
      </c>
      <c r="B100" s="2" t="s">
        <v>185</v>
      </c>
      <c r="C100" s="4" t="n">
        <v>46275</v>
      </c>
      <c r="D100" s="2" t="s">
        <v>1161</v>
      </c>
      <c r="E100" s="2" t="s">
        <v>1205</v>
      </c>
      <c r="F100" s="2"/>
      <c r="G100" s="4"/>
      <c r="H100" s="2" t="str">
        <f aca="false">IF(C100&gt;CRM_Dashboard!$B$3,"Future-dated",IF(AND(B100=B99,C100&lt;C99),"Date out of sequence",IF(AND(G100&lt;&gt;"",G100&lt;=C100),"Follow-up not after interaction","")))</f>
        <v/>
      </c>
    </row>
    <row r="101" customFormat="false" ht="15" hidden="false" customHeight="false" outlineLevel="0" collapsed="false">
      <c r="A101" s="2" t="s">
        <v>1280</v>
      </c>
      <c r="B101" s="2" t="s">
        <v>185</v>
      </c>
      <c r="C101" s="4" t="n">
        <v>46275</v>
      </c>
      <c r="D101" s="2" t="s">
        <v>1161</v>
      </c>
      <c r="E101" s="2" t="s">
        <v>1188</v>
      </c>
      <c r="F101" s="2"/>
      <c r="G101" s="4"/>
      <c r="H101" s="2" t="str">
        <f aca="false">IF(C101&gt;CRM_Dashboard!$B$3,"Future-dated",IF(AND(B101=B100,C101&lt;C100),"Date out of sequence",IF(AND(G101&lt;&gt;"",G101&lt;=C101),"Follow-up not after interaction","")))</f>
        <v/>
      </c>
    </row>
    <row r="102" customFormat="false" ht="15" hidden="false" customHeight="false" outlineLevel="0" collapsed="false">
      <c r="A102" s="2" t="s">
        <v>1281</v>
      </c>
      <c r="B102" s="2" t="s">
        <v>185</v>
      </c>
      <c r="C102" s="4" t="n">
        <v>46278</v>
      </c>
      <c r="D102" s="2" t="s">
        <v>1161</v>
      </c>
      <c r="E102" s="2" t="s">
        <v>1176</v>
      </c>
      <c r="F102" s="2"/>
      <c r="G102" s="4"/>
      <c r="H102" s="2" t="str">
        <f aca="false">IF(C102&gt;CRM_Dashboard!$B$3,"Future-dated",IF(AND(B102=B101,C102&lt;C101),"Date out of sequence",IF(AND(G102&lt;&gt;"",G102&lt;=C102),"Follow-up not after interaction","")))</f>
        <v/>
      </c>
    </row>
    <row r="103" customFormat="false" ht="15" hidden="false" customHeight="false" outlineLevel="0" collapsed="false">
      <c r="A103" s="2" t="s">
        <v>1282</v>
      </c>
      <c r="B103" s="2" t="s">
        <v>185</v>
      </c>
      <c r="C103" s="4" t="n">
        <v>46284</v>
      </c>
      <c r="D103" s="2" t="s">
        <v>1161</v>
      </c>
      <c r="E103" s="2" t="s">
        <v>1162</v>
      </c>
      <c r="F103" s="2" t="s">
        <v>1195</v>
      </c>
      <c r="G103" s="4"/>
      <c r="H103" s="2" t="str">
        <f aca="false">IF(C103&gt;CRM_Dashboard!$B$3,"Future-dated",IF(AND(B103=B102,C103&lt;C102),"Date out of sequence",IF(AND(G103&lt;&gt;"",G103&lt;=C103),"Follow-up not after interaction","")))</f>
        <v/>
      </c>
    </row>
    <row r="104" customFormat="false" ht="15" hidden="false" customHeight="false" outlineLevel="0" collapsed="false">
      <c r="A104" s="2" t="s">
        <v>1283</v>
      </c>
      <c r="B104" s="2" t="s">
        <v>189</v>
      </c>
      <c r="C104" s="4" t="n">
        <v>46242</v>
      </c>
      <c r="D104" s="2" t="s">
        <v>1161</v>
      </c>
      <c r="E104" s="2" t="s">
        <v>1162</v>
      </c>
      <c r="F104" s="2"/>
      <c r="G104" s="4"/>
      <c r="H104" s="2" t="str">
        <f aca="false">IF(C104&gt;CRM_Dashboard!$B$3,"Future-dated",IF(AND(B104=B103,C104&lt;C103),"Date out of sequence",IF(AND(G104&lt;&gt;"",G104&lt;=C104),"Follow-up not after interaction","")))</f>
        <v/>
      </c>
    </row>
    <row r="105" customFormat="false" ht="15" hidden="false" customHeight="false" outlineLevel="0" collapsed="false">
      <c r="A105" s="2" t="s">
        <v>1284</v>
      </c>
      <c r="B105" s="2" t="s">
        <v>189</v>
      </c>
      <c r="C105" s="4" t="n">
        <v>46245</v>
      </c>
      <c r="D105" s="2" t="s">
        <v>1161</v>
      </c>
      <c r="E105" s="2" t="s">
        <v>1173</v>
      </c>
      <c r="F105" s="2" t="s">
        <v>1165</v>
      </c>
      <c r="G105" s="4" t="n">
        <v>46243</v>
      </c>
      <c r="H105" s="2" t="str">
        <f aca="false">IF(C105&gt;CRM_Dashboard!$B$3,"Future-dated",IF(AND(B105=B104,C105&lt;C104),"Date out of sequence",IF(AND(G105&lt;&gt;"",G105&lt;=C105),"Follow-up not after interaction","")))</f>
        <v>Follow-up not after interaction</v>
      </c>
    </row>
    <row r="106" customFormat="false" ht="15" hidden="false" customHeight="false" outlineLevel="0" collapsed="false">
      <c r="A106" s="2" t="s">
        <v>1285</v>
      </c>
      <c r="B106" s="2" t="s">
        <v>193</v>
      </c>
      <c r="C106" s="4" t="n">
        <v>46247</v>
      </c>
      <c r="D106" s="2" t="s">
        <v>1161</v>
      </c>
      <c r="E106" s="2" t="s">
        <v>1176</v>
      </c>
      <c r="F106" s="2"/>
      <c r="G106" s="4"/>
      <c r="H106" s="2" t="str">
        <f aca="false">IF(C106&gt;CRM_Dashboard!$B$3,"Future-dated",IF(AND(B106=B105,C106&lt;C105),"Date out of sequence",IF(AND(G106&lt;&gt;"",G106&lt;=C106),"Follow-up not after interaction","")))</f>
        <v/>
      </c>
    </row>
    <row r="107" customFormat="false" ht="15" hidden="false" customHeight="false" outlineLevel="0" collapsed="false">
      <c r="A107" s="2" t="s">
        <v>1286</v>
      </c>
      <c r="B107" s="2" t="s">
        <v>193</v>
      </c>
      <c r="C107" s="4" t="n">
        <v>46251</v>
      </c>
      <c r="D107" s="2" t="s">
        <v>1161</v>
      </c>
      <c r="E107" s="2" t="s">
        <v>1162</v>
      </c>
      <c r="F107" s="2"/>
      <c r="G107" s="4"/>
      <c r="H107" s="2" t="str">
        <f aca="false">IF(C107&gt;CRM_Dashboard!$B$3,"Future-dated",IF(AND(B107=B106,C107&lt;C106),"Date out of sequence",IF(AND(G107&lt;&gt;"",G107&lt;=C107),"Follow-up not after interaction","")))</f>
        <v/>
      </c>
    </row>
    <row r="108" customFormat="false" ht="15" hidden="false" customHeight="false" outlineLevel="0" collapsed="false">
      <c r="A108" s="2" t="s">
        <v>1287</v>
      </c>
      <c r="B108" s="2" t="s">
        <v>193</v>
      </c>
      <c r="C108" s="4" t="n">
        <v>46248</v>
      </c>
      <c r="D108" s="2" t="s">
        <v>1161</v>
      </c>
      <c r="E108" s="2" t="s">
        <v>1176</v>
      </c>
      <c r="F108" s="2"/>
      <c r="G108" s="4"/>
      <c r="H108" s="2" t="str">
        <f aca="false">IF(C108&gt;CRM_Dashboard!$B$3,"Future-dated",IF(AND(B108=B107,C108&lt;C107),"Date out of sequence",IF(AND(G108&lt;&gt;"",G108&lt;=C108),"Follow-up not after interaction","")))</f>
        <v>Date out of sequence</v>
      </c>
    </row>
    <row r="109" customFormat="false" ht="15" hidden="false" customHeight="false" outlineLevel="0" collapsed="false">
      <c r="A109" s="2" t="s">
        <v>1288</v>
      </c>
      <c r="B109" s="2" t="s">
        <v>193</v>
      </c>
      <c r="C109" s="4" t="n">
        <v>46254</v>
      </c>
      <c r="D109" s="2" t="s">
        <v>1161</v>
      </c>
      <c r="E109" s="2" t="s">
        <v>1205</v>
      </c>
      <c r="F109" s="2" t="s">
        <v>1183</v>
      </c>
      <c r="G109" s="4"/>
      <c r="H109" s="2" t="str">
        <f aca="false">IF(C109&gt;CRM_Dashboard!$B$3,"Future-dated",IF(AND(B109=B108,C109&lt;C108),"Date out of sequence",IF(AND(G109&lt;&gt;"",G109&lt;=C109),"Follow-up not after interaction","")))</f>
        <v/>
      </c>
    </row>
    <row r="110" customFormat="false" ht="15" hidden="false" customHeight="false" outlineLevel="0" collapsed="false">
      <c r="A110" s="2" t="s">
        <v>1289</v>
      </c>
      <c r="B110" s="2" t="s">
        <v>197</v>
      </c>
      <c r="C110" s="4" t="n">
        <v>46257</v>
      </c>
      <c r="D110" s="2" t="s">
        <v>1161</v>
      </c>
      <c r="E110" s="2" t="s">
        <v>1176</v>
      </c>
      <c r="F110" s="2"/>
      <c r="G110" s="4"/>
      <c r="H110" s="2" t="str">
        <f aca="false">IF(C110&gt;CRM_Dashboard!$B$3,"Future-dated",IF(AND(B110=B109,C110&lt;C109),"Date out of sequence",IF(AND(G110&lt;&gt;"",G110&lt;=C110),"Follow-up not after interaction","")))</f>
        <v/>
      </c>
    </row>
    <row r="111" customFormat="false" ht="15" hidden="false" customHeight="false" outlineLevel="0" collapsed="false">
      <c r="A111" s="2" t="s">
        <v>1290</v>
      </c>
      <c r="B111" s="2" t="s">
        <v>197</v>
      </c>
      <c r="C111" s="4" t="n">
        <v>46258</v>
      </c>
      <c r="D111" s="2" t="s">
        <v>1161</v>
      </c>
      <c r="E111" s="2" t="s">
        <v>1188</v>
      </c>
      <c r="F111" s="2"/>
      <c r="G111" s="4"/>
      <c r="H111" s="2" t="str">
        <f aca="false">IF(C111&gt;CRM_Dashboard!$B$3,"Future-dated",IF(AND(B111=B110,C111&lt;C110),"Date out of sequence",IF(AND(G111&lt;&gt;"",G111&lt;=C111),"Follow-up not after interaction","")))</f>
        <v/>
      </c>
    </row>
    <row r="112" customFormat="false" ht="15" hidden="false" customHeight="false" outlineLevel="0" collapsed="false">
      <c r="A112" s="2" t="s">
        <v>1291</v>
      </c>
      <c r="B112" s="2" t="s">
        <v>197</v>
      </c>
      <c r="C112" s="4" t="n">
        <v>46258</v>
      </c>
      <c r="D112" s="2" t="s">
        <v>1161</v>
      </c>
      <c r="E112" s="2" t="s">
        <v>1252</v>
      </c>
      <c r="F112" s="2"/>
      <c r="G112" s="4"/>
      <c r="H112" s="2" t="str">
        <f aca="false">IF(C112&gt;CRM_Dashboard!$B$3,"Future-dated",IF(AND(B112=B111,C112&lt;C111),"Date out of sequence",IF(AND(G112&lt;&gt;"",G112&lt;=C112),"Follow-up not after interaction","")))</f>
        <v/>
      </c>
    </row>
    <row r="113" customFormat="false" ht="15" hidden="false" customHeight="false" outlineLevel="0" collapsed="false">
      <c r="A113" s="2" t="s">
        <v>1292</v>
      </c>
      <c r="B113" s="2" t="s">
        <v>197</v>
      </c>
      <c r="C113" s="4" t="n">
        <v>46254</v>
      </c>
      <c r="D113" s="2" t="s">
        <v>1161</v>
      </c>
      <c r="E113" s="2" t="s">
        <v>1205</v>
      </c>
      <c r="F113" s="2" t="s">
        <v>1203</v>
      </c>
      <c r="G113" s="4"/>
      <c r="H113" s="2" t="str">
        <f aca="false">IF(C113&gt;CRM_Dashboard!$B$3,"Future-dated",IF(AND(B113=B112,C113&lt;C112),"Date out of sequence",IF(AND(G113&lt;&gt;"",G113&lt;=C113),"Follow-up not after interaction","")))</f>
        <v>Date out of sequence</v>
      </c>
    </row>
    <row r="114" customFormat="false" ht="15" hidden="false" customHeight="false" outlineLevel="0" collapsed="false">
      <c r="A114" s="2" t="s">
        <v>1293</v>
      </c>
      <c r="B114" s="2" t="s">
        <v>201</v>
      </c>
      <c r="C114" s="4" t="n">
        <v>46265</v>
      </c>
      <c r="D114" s="2" t="s">
        <v>1235</v>
      </c>
      <c r="E114" s="2" t="s">
        <v>1236</v>
      </c>
      <c r="F114" s="2"/>
      <c r="G114" s="4"/>
      <c r="H114" s="2" t="str">
        <f aca="false">IF(C114&gt;CRM_Dashboard!$B$3,"Future-dated",IF(AND(B114=B113,C114&lt;C113),"Date out of sequence",IF(AND(G114&lt;&gt;"",G114&lt;=C114),"Follow-up not after interaction","")))</f>
        <v/>
      </c>
    </row>
    <row r="115" customFormat="false" ht="15" hidden="false" customHeight="false" outlineLevel="0" collapsed="false">
      <c r="A115" s="2" t="s">
        <v>1294</v>
      </c>
      <c r="B115" s="2" t="s">
        <v>201</v>
      </c>
      <c r="C115" s="4" t="n">
        <v>46267</v>
      </c>
      <c r="D115" s="2" t="s">
        <v>1161</v>
      </c>
      <c r="E115" s="2" t="s">
        <v>1176</v>
      </c>
      <c r="F115" s="2" t="s">
        <v>1168</v>
      </c>
      <c r="G115" s="4" t="n">
        <v>46273</v>
      </c>
      <c r="H115" s="2" t="str">
        <f aca="false">IF(C115&gt;CRM_Dashboard!$B$3,"Future-dated",IF(AND(B115=B114,C115&lt;C114),"Date out of sequence",IF(AND(G115&lt;&gt;"",G115&lt;=C115),"Follow-up not after interaction","")))</f>
        <v/>
      </c>
    </row>
    <row r="116" customFormat="false" ht="15" hidden="false" customHeight="false" outlineLevel="0" collapsed="false">
      <c r="A116" s="2" t="s">
        <v>1295</v>
      </c>
      <c r="B116" s="2" t="s">
        <v>205</v>
      </c>
      <c r="C116" s="4" t="n">
        <v>46230</v>
      </c>
      <c r="D116" s="2" t="s">
        <v>1161</v>
      </c>
      <c r="E116" s="2" t="s">
        <v>1162</v>
      </c>
      <c r="F116" s="2" t="s">
        <v>1195</v>
      </c>
      <c r="G116" s="4"/>
      <c r="H116" s="2" t="str">
        <f aca="false">IF(C116&gt;CRM_Dashboard!$B$3,"Future-dated",IF(AND(B116=B115,C116&lt;C115),"Date out of sequence",IF(AND(G116&lt;&gt;"",G116&lt;=C116),"Follow-up not after interaction","")))</f>
        <v/>
      </c>
    </row>
    <row r="117" customFormat="false" ht="15" hidden="false" customHeight="false" outlineLevel="0" collapsed="false">
      <c r="A117" s="2" t="s">
        <v>1296</v>
      </c>
      <c r="B117" s="2" t="s">
        <v>209</v>
      </c>
      <c r="C117" s="4" t="n">
        <v>46268</v>
      </c>
      <c r="D117" s="2" t="s">
        <v>1161</v>
      </c>
      <c r="E117" s="2" t="s">
        <v>1185</v>
      </c>
      <c r="F117" s="2" t="s">
        <v>1209</v>
      </c>
      <c r="G117" s="4"/>
      <c r="H117" s="2" t="str">
        <f aca="false">IF(C117&gt;CRM_Dashboard!$B$3,"Future-dated",IF(AND(B117=B116,C117&lt;C116),"Date out of sequence",IF(AND(G117&lt;&gt;"",G117&lt;=C117),"Follow-up not after interaction","")))</f>
        <v/>
      </c>
    </row>
    <row r="118" customFormat="false" ht="15" hidden="false" customHeight="false" outlineLevel="0" collapsed="false">
      <c r="A118" s="2" t="s">
        <v>1297</v>
      </c>
      <c r="B118" s="2" t="s">
        <v>213</v>
      </c>
      <c r="C118" s="4" t="n">
        <v>46239</v>
      </c>
      <c r="D118" s="2" t="s">
        <v>1161</v>
      </c>
      <c r="E118" s="2" t="s">
        <v>1252</v>
      </c>
      <c r="F118" s="2"/>
      <c r="G118" s="4"/>
      <c r="H118" s="2" t="str">
        <f aca="false">IF(C118&gt;CRM_Dashboard!$B$3,"Future-dated",IF(AND(B118=B117,C118&lt;C117),"Date out of sequence",IF(AND(G118&lt;&gt;"",G118&lt;=C118),"Follow-up not after interaction","")))</f>
        <v/>
      </c>
    </row>
    <row r="119" customFormat="false" ht="15" hidden="false" customHeight="false" outlineLevel="0" collapsed="false">
      <c r="A119" s="2" t="s">
        <v>1298</v>
      </c>
      <c r="B119" s="2" t="s">
        <v>213</v>
      </c>
      <c r="C119" s="4" t="n">
        <v>46240</v>
      </c>
      <c r="D119" s="2" t="s">
        <v>1161</v>
      </c>
      <c r="E119" s="2" t="s">
        <v>1167</v>
      </c>
      <c r="F119" s="2" t="s">
        <v>1195</v>
      </c>
      <c r="G119" s="4" t="n">
        <v>46243</v>
      </c>
      <c r="H119" s="2" t="str">
        <f aca="false">IF(C119&gt;CRM_Dashboard!$B$3,"Future-dated",IF(AND(B119=B118,C119&lt;C118),"Date out of sequence",IF(AND(G119&lt;&gt;"",G119&lt;=C119),"Follow-up not after interaction","")))</f>
        <v/>
      </c>
    </row>
    <row r="120" customFormat="false" ht="15" hidden="false" customHeight="false" outlineLevel="0" collapsed="false">
      <c r="A120" s="2" t="s">
        <v>1299</v>
      </c>
      <c r="B120" s="2" t="s">
        <v>217</v>
      </c>
      <c r="C120" s="4" t="n">
        <v>46228</v>
      </c>
      <c r="D120" s="2" t="s">
        <v>1161</v>
      </c>
      <c r="E120" s="2" t="s">
        <v>1188</v>
      </c>
      <c r="F120" s="2" t="s">
        <v>1203</v>
      </c>
      <c r="G120" s="4"/>
      <c r="H120" s="2" t="str">
        <f aca="false">IF(C120&gt;CRM_Dashboard!$B$3,"Future-dated",IF(AND(B120=B119,C120&lt;C119),"Date out of sequence",IF(AND(G120&lt;&gt;"",G120&lt;=C120),"Follow-up not after interaction","")))</f>
        <v/>
      </c>
    </row>
    <row r="121" customFormat="false" ht="15" hidden="false" customHeight="false" outlineLevel="0" collapsed="false">
      <c r="A121" s="2" t="s">
        <v>1300</v>
      </c>
      <c r="B121" s="2" t="s">
        <v>221</v>
      </c>
      <c r="C121" s="4" t="n">
        <v>46233</v>
      </c>
      <c r="D121" s="2" t="s">
        <v>1161</v>
      </c>
      <c r="E121" s="2" t="s">
        <v>1167</v>
      </c>
      <c r="F121" s="2" t="s">
        <v>1165</v>
      </c>
      <c r="G121" s="4" t="n">
        <v>46233</v>
      </c>
      <c r="H121" s="2" t="str">
        <f aca="false">IF(C121&gt;CRM_Dashboard!$B$3,"Future-dated",IF(AND(B121=B120,C121&lt;C120),"Date out of sequence",IF(AND(G121&lt;&gt;"",G121&lt;=C121),"Follow-up not after interaction","")))</f>
        <v>Follow-up not after interaction</v>
      </c>
    </row>
    <row r="122" customFormat="false" ht="15" hidden="false" customHeight="false" outlineLevel="0" collapsed="false">
      <c r="A122" s="2" t="s">
        <v>1301</v>
      </c>
      <c r="B122" s="2" t="s">
        <v>225</v>
      </c>
      <c r="C122" s="4" t="n">
        <v>46211</v>
      </c>
      <c r="D122" s="2" t="s">
        <v>1161</v>
      </c>
      <c r="E122" s="2" t="s">
        <v>1176</v>
      </c>
      <c r="F122" s="2"/>
      <c r="G122" s="4"/>
      <c r="H122" s="2" t="str">
        <f aca="false">IF(C122&gt;CRM_Dashboard!$B$3,"Future-dated",IF(AND(B122=B121,C122&lt;C121),"Date out of sequence",IF(AND(G122&lt;&gt;"",G122&lt;=C122),"Follow-up not after interaction","")))</f>
        <v/>
      </c>
    </row>
    <row r="123" customFormat="false" ht="15" hidden="false" customHeight="false" outlineLevel="0" collapsed="false">
      <c r="A123" s="2" t="s">
        <v>1302</v>
      </c>
      <c r="B123" s="2" t="s">
        <v>225</v>
      </c>
      <c r="C123" s="4" t="n">
        <v>46215</v>
      </c>
      <c r="D123" s="2" t="s">
        <v>1161</v>
      </c>
      <c r="E123" s="2" t="s">
        <v>1167</v>
      </c>
      <c r="F123" s="2"/>
      <c r="G123" s="4"/>
      <c r="H123" s="2" t="str">
        <f aca="false">IF(C123&gt;CRM_Dashboard!$B$3,"Future-dated",IF(AND(B123=B122,C123&lt;C122),"Date out of sequence",IF(AND(G123&lt;&gt;"",G123&lt;=C123),"Follow-up not after interaction","")))</f>
        <v/>
      </c>
    </row>
    <row r="124" customFormat="false" ht="15" hidden="false" customHeight="false" outlineLevel="0" collapsed="false">
      <c r="A124" s="2" t="s">
        <v>1303</v>
      </c>
      <c r="B124" s="2" t="s">
        <v>225</v>
      </c>
      <c r="C124" s="4" t="n">
        <v>46215</v>
      </c>
      <c r="D124" s="2" t="s">
        <v>1161</v>
      </c>
      <c r="E124" s="2" t="s">
        <v>1162</v>
      </c>
      <c r="F124" s="2" t="s">
        <v>1183</v>
      </c>
      <c r="G124" s="4"/>
      <c r="H124" s="2" t="str">
        <f aca="false">IF(C124&gt;CRM_Dashboard!$B$3,"Future-dated",IF(AND(B124=B123,C124&lt;C123),"Date out of sequence",IF(AND(G124&lt;&gt;"",G124&lt;=C124),"Follow-up not after interaction","")))</f>
        <v/>
      </c>
    </row>
    <row r="125" customFormat="false" ht="15" hidden="false" customHeight="false" outlineLevel="0" collapsed="false">
      <c r="A125" s="2" t="s">
        <v>1304</v>
      </c>
      <c r="B125" s="2" t="s">
        <v>229</v>
      </c>
      <c r="C125" s="4" t="n">
        <v>46262</v>
      </c>
      <c r="D125" s="2" t="s">
        <v>1161</v>
      </c>
      <c r="E125" s="2" t="s">
        <v>1176</v>
      </c>
      <c r="F125" s="2"/>
      <c r="G125" s="4"/>
      <c r="H125" s="2" t="str">
        <f aca="false">IF(C125&gt;CRM_Dashboard!$B$3,"Future-dated",IF(AND(B125=B124,C125&lt;C124),"Date out of sequence",IF(AND(G125&lt;&gt;"",G125&lt;=C125),"Follow-up not after interaction","")))</f>
        <v/>
      </c>
    </row>
    <row r="126" customFormat="false" ht="15" hidden="false" customHeight="false" outlineLevel="0" collapsed="false">
      <c r="A126" s="2" t="s">
        <v>1305</v>
      </c>
      <c r="B126" s="2" t="s">
        <v>229</v>
      </c>
      <c r="C126" s="4" t="n">
        <v>46266</v>
      </c>
      <c r="D126" s="2" t="s">
        <v>1161</v>
      </c>
      <c r="E126" s="2" t="s">
        <v>1188</v>
      </c>
      <c r="F126" s="2" t="s">
        <v>1195</v>
      </c>
      <c r="G126" s="4"/>
      <c r="H126" s="2" t="str">
        <f aca="false">IF(C126&gt;CRM_Dashboard!$B$3,"Future-dated",IF(AND(B126=B125,C126&lt;C125),"Date out of sequence",IF(AND(G126&lt;&gt;"",G126&lt;=C126),"Follow-up not after interaction","")))</f>
        <v/>
      </c>
    </row>
    <row r="127" customFormat="false" ht="15" hidden="false" customHeight="false" outlineLevel="0" collapsed="false">
      <c r="A127" s="2" t="s">
        <v>1306</v>
      </c>
      <c r="B127" s="2" t="s">
        <v>233</v>
      </c>
      <c r="C127" s="4" t="n">
        <v>46235</v>
      </c>
      <c r="D127" s="2" t="s">
        <v>1161</v>
      </c>
      <c r="E127" s="2" t="s">
        <v>1162</v>
      </c>
      <c r="F127" s="2" t="s">
        <v>1174</v>
      </c>
      <c r="G127" s="4"/>
      <c r="H127" s="2" t="str">
        <f aca="false">IF(C127&gt;CRM_Dashboard!$B$3,"Future-dated",IF(AND(B127=B126,C127&lt;C126),"Date out of sequence",IF(AND(G127&lt;&gt;"",G127&lt;=C127),"Follow-up not after interaction","")))</f>
        <v/>
      </c>
    </row>
    <row r="128" customFormat="false" ht="15" hidden="false" customHeight="false" outlineLevel="0" collapsed="false">
      <c r="A128" s="2" t="s">
        <v>1307</v>
      </c>
      <c r="B128" s="2" t="s">
        <v>237</v>
      </c>
      <c r="C128" s="4" t="n">
        <v>46227</v>
      </c>
      <c r="D128" s="2" t="s">
        <v>1161</v>
      </c>
      <c r="E128" s="2" t="s">
        <v>1162</v>
      </c>
      <c r="F128" s="2"/>
      <c r="G128" s="4"/>
      <c r="H128" s="2" t="str">
        <f aca="false">IF(C128&gt;CRM_Dashboard!$B$3,"Future-dated",IF(AND(B128=B127,C128&lt;C127),"Date out of sequence",IF(AND(G128&lt;&gt;"",G128&lt;=C128),"Follow-up not after interaction","")))</f>
        <v/>
      </c>
    </row>
    <row r="129" customFormat="false" ht="15" hidden="false" customHeight="false" outlineLevel="0" collapsed="false">
      <c r="A129" s="2" t="s">
        <v>1308</v>
      </c>
      <c r="B129" s="2" t="s">
        <v>237</v>
      </c>
      <c r="C129" s="4" t="n">
        <v>46230</v>
      </c>
      <c r="D129" s="2" t="s">
        <v>1161</v>
      </c>
      <c r="E129" s="2" t="s">
        <v>1252</v>
      </c>
      <c r="F129" s="2"/>
      <c r="G129" s="4"/>
      <c r="H129" s="2" t="str">
        <f aca="false">IF(C129&gt;CRM_Dashboard!$B$3,"Future-dated",IF(AND(B129=B128,C129&lt;C128),"Date out of sequence",IF(AND(G129&lt;&gt;"",G129&lt;=C129),"Follow-up not after interaction","")))</f>
        <v/>
      </c>
    </row>
    <row r="130" customFormat="false" ht="15" hidden="false" customHeight="false" outlineLevel="0" collapsed="false">
      <c r="A130" s="2" t="s">
        <v>1309</v>
      </c>
      <c r="B130" s="2" t="s">
        <v>237</v>
      </c>
      <c r="C130" s="4" t="n">
        <v>46229</v>
      </c>
      <c r="D130" s="2" t="s">
        <v>1161</v>
      </c>
      <c r="E130" s="2" t="s">
        <v>1173</v>
      </c>
      <c r="F130" s="2"/>
      <c r="G130" s="4"/>
      <c r="H130" s="2" t="str">
        <f aca="false">IF(C130&gt;CRM_Dashboard!$B$3,"Future-dated",IF(AND(B130=B129,C130&lt;C129),"Date out of sequence",IF(AND(G130&lt;&gt;"",G130&lt;=C130),"Follow-up not after interaction","")))</f>
        <v>Date out of sequence</v>
      </c>
    </row>
    <row r="131" customFormat="false" ht="15" hidden="false" customHeight="false" outlineLevel="0" collapsed="false">
      <c r="A131" s="2" t="s">
        <v>1310</v>
      </c>
      <c r="B131" s="2" t="s">
        <v>237</v>
      </c>
      <c r="C131" s="4" t="n">
        <v>46227</v>
      </c>
      <c r="D131" s="2" t="s">
        <v>1161</v>
      </c>
      <c r="E131" s="2" t="s">
        <v>1179</v>
      </c>
      <c r="F131" s="2" t="s">
        <v>1203</v>
      </c>
      <c r="G131" s="4"/>
      <c r="H131" s="2" t="str">
        <f aca="false">IF(C131&gt;CRM_Dashboard!$B$3,"Future-dated",IF(AND(B131=B130,C131&lt;C130),"Date out of sequence",IF(AND(G131&lt;&gt;"",G131&lt;=C131),"Follow-up not after interaction","")))</f>
        <v>Date out of sequence</v>
      </c>
    </row>
    <row r="132" customFormat="false" ht="15" hidden="false" customHeight="false" outlineLevel="0" collapsed="false">
      <c r="A132" s="2" t="s">
        <v>1311</v>
      </c>
      <c r="B132" s="2" t="s">
        <v>241</v>
      </c>
      <c r="C132" s="4" t="n">
        <v>46234</v>
      </c>
      <c r="D132" s="2" t="s">
        <v>1161</v>
      </c>
      <c r="E132" s="2" t="s">
        <v>1167</v>
      </c>
      <c r="F132" s="2"/>
      <c r="G132" s="4"/>
      <c r="H132" s="2" t="str">
        <f aca="false">IF(C132&gt;CRM_Dashboard!$B$3,"Future-dated",IF(AND(B132=B131,C132&lt;C131),"Date out of sequence",IF(AND(G132&lt;&gt;"",G132&lt;=C132),"Follow-up not after interaction","")))</f>
        <v/>
      </c>
    </row>
    <row r="133" customFormat="false" ht="15" hidden="false" customHeight="false" outlineLevel="0" collapsed="false">
      <c r="A133" s="2" t="s">
        <v>1312</v>
      </c>
      <c r="B133" s="2" t="s">
        <v>241</v>
      </c>
      <c r="C133" s="4" t="n">
        <v>46235</v>
      </c>
      <c r="D133" s="2" t="s">
        <v>1161</v>
      </c>
      <c r="E133" s="2" t="s">
        <v>1176</v>
      </c>
      <c r="F133" s="2"/>
      <c r="G133" s="4"/>
      <c r="H133" s="2" t="str">
        <f aca="false">IF(C133&gt;CRM_Dashboard!$B$3,"Future-dated",IF(AND(B133=B132,C133&lt;C132),"Date out of sequence",IF(AND(G133&lt;&gt;"",G133&lt;=C133),"Follow-up not after interaction","")))</f>
        <v/>
      </c>
    </row>
    <row r="134" customFormat="false" ht="15" hidden="false" customHeight="false" outlineLevel="0" collapsed="false">
      <c r="A134" s="2" t="s">
        <v>1313</v>
      </c>
      <c r="B134" s="2" t="s">
        <v>241</v>
      </c>
      <c r="C134" s="4" t="n">
        <v>46238</v>
      </c>
      <c r="D134" s="2" t="s">
        <v>1161</v>
      </c>
      <c r="E134" s="2" t="s">
        <v>1252</v>
      </c>
      <c r="F134" s="2"/>
      <c r="G134" s="4"/>
      <c r="H134" s="2" t="str">
        <f aca="false">IF(C134&gt;CRM_Dashboard!$B$3,"Future-dated",IF(AND(B134=B133,C134&lt;C133),"Date out of sequence",IF(AND(G134&lt;&gt;"",G134&lt;=C134),"Follow-up not after interaction","")))</f>
        <v/>
      </c>
    </row>
    <row r="135" customFormat="false" ht="15" hidden="false" customHeight="false" outlineLevel="0" collapsed="false">
      <c r="A135" s="2" t="s">
        <v>1314</v>
      </c>
      <c r="B135" s="2" t="s">
        <v>241</v>
      </c>
      <c r="C135" s="4" t="n">
        <v>46236</v>
      </c>
      <c r="D135" s="2" t="s">
        <v>1161</v>
      </c>
      <c r="E135" s="2" t="s">
        <v>1162</v>
      </c>
      <c r="F135" s="2" t="s">
        <v>1183</v>
      </c>
      <c r="G135" s="4"/>
      <c r="H135" s="2" t="str">
        <f aca="false">IF(C135&gt;CRM_Dashboard!$B$3,"Future-dated",IF(AND(B135=B134,C135&lt;C134),"Date out of sequence",IF(AND(G135&lt;&gt;"",G135&lt;=C135),"Follow-up not after interaction","")))</f>
        <v>Date out of sequence</v>
      </c>
    </row>
    <row r="136" customFormat="false" ht="15" hidden="false" customHeight="false" outlineLevel="0" collapsed="false">
      <c r="A136" s="2" t="s">
        <v>1315</v>
      </c>
      <c r="B136" s="2" t="s">
        <v>245</v>
      </c>
      <c r="C136" s="4" t="n">
        <v>46276</v>
      </c>
      <c r="D136" s="2" t="s">
        <v>1161</v>
      </c>
      <c r="E136" s="2" t="s">
        <v>1173</v>
      </c>
      <c r="F136" s="2"/>
      <c r="G136" s="4"/>
      <c r="H136" s="2" t="str">
        <f aca="false">IF(C136&gt;CRM_Dashboard!$B$3,"Future-dated",IF(AND(B136=B135,C136&lt;C135),"Date out of sequence",IF(AND(G136&lt;&gt;"",G136&lt;=C136),"Follow-up not after interaction","")))</f>
        <v/>
      </c>
    </row>
    <row r="137" customFormat="false" ht="15" hidden="false" customHeight="false" outlineLevel="0" collapsed="false">
      <c r="A137" s="2" t="s">
        <v>1316</v>
      </c>
      <c r="B137" s="2" t="s">
        <v>245</v>
      </c>
      <c r="C137" s="4" t="n">
        <v>46279</v>
      </c>
      <c r="D137" s="2" t="s">
        <v>1161</v>
      </c>
      <c r="E137" s="2" t="s">
        <v>1176</v>
      </c>
      <c r="F137" s="2"/>
      <c r="G137" s="4"/>
      <c r="H137" s="2" t="str">
        <f aca="false">IF(C137&gt;CRM_Dashboard!$B$3,"Future-dated",IF(AND(B137=B136,C137&lt;C136),"Date out of sequence",IF(AND(G137&lt;&gt;"",G137&lt;=C137),"Follow-up not after interaction","")))</f>
        <v/>
      </c>
    </row>
    <row r="138" customFormat="false" ht="15" hidden="false" customHeight="false" outlineLevel="0" collapsed="false">
      <c r="A138" s="2" t="s">
        <v>1317</v>
      </c>
      <c r="B138" s="2" t="s">
        <v>245</v>
      </c>
      <c r="C138" s="4" t="n">
        <v>46278</v>
      </c>
      <c r="D138" s="2" t="s">
        <v>1161</v>
      </c>
      <c r="E138" s="2" t="s">
        <v>1173</v>
      </c>
      <c r="F138" s="2" t="s">
        <v>1174</v>
      </c>
      <c r="G138" s="4" t="n">
        <v>46278</v>
      </c>
      <c r="H138" s="2" t="str">
        <f aca="false">IF(C138&gt;CRM_Dashboard!$B$3,"Future-dated",IF(AND(B138=B137,C138&lt;C137),"Date out of sequence",IF(AND(G138&lt;&gt;"",G138&lt;=C138),"Follow-up not after interaction","")))</f>
        <v>Date out of sequence</v>
      </c>
    </row>
    <row r="139" customFormat="false" ht="15" hidden="false" customHeight="false" outlineLevel="0" collapsed="false">
      <c r="A139" s="2" t="s">
        <v>1318</v>
      </c>
      <c r="B139" s="2" t="s">
        <v>248</v>
      </c>
      <c r="C139" s="4" t="n">
        <v>46280</v>
      </c>
      <c r="D139" s="2" t="s">
        <v>1235</v>
      </c>
      <c r="E139" s="2" t="s">
        <v>1236</v>
      </c>
      <c r="F139" s="2"/>
      <c r="G139" s="4"/>
      <c r="H139" s="2" t="str">
        <f aca="false">IF(C139&gt;CRM_Dashboard!$B$3,"Future-dated",IF(AND(B139=B138,C139&lt;C138),"Date out of sequence",IF(AND(G139&lt;&gt;"",G139&lt;=C139),"Follow-up not after interaction","")))</f>
        <v/>
      </c>
    </row>
    <row r="140" customFormat="false" ht="15" hidden="false" customHeight="false" outlineLevel="0" collapsed="false">
      <c r="A140" s="2" t="s">
        <v>1319</v>
      </c>
      <c r="B140" s="2" t="s">
        <v>248</v>
      </c>
      <c r="C140" s="4" t="n">
        <v>46285</v>
      </c>
      <c r="D140" s="2" t="s">
        <v>1161</v>
      </c>
      <c r="E140" s="2" t="s">
        <v>1252</v>
      </c>
      <c r="F140" s="2"/>
      <c r="G140" s="4"/>
      <c r="H140" s="2" t="str">
        <f aca="false">IF(C140&gt;CRM_Dashboard!$B$3,"Future-dated",IF(AND(B140=B139,C140&lt;C139),"Date out of sequence",IF(AND(G140&lt;&gt;"",G140&lt;=C140),"Follow-up not after interaction","")))</f>
        <v/>
      </c>
    </row>
    <row r="141" customFormat="false" ht="15" hidden="false" customHeight="false" outlineLevel="0" collapsed="false">
      <c r="A141" s="2" t="s">
        <v>1320</v>
      </c>
      <c r="B141" s="2" t="s">
        <v>248</v>
      </c>
      <c r="C141" s="4" t="n">
        <v>46279</v>
      </c>
      <c r="D141" s="2" t="s">
        <v>1161</v>
      </c>
      <c r="E141" s="2" t="s">
        <v>1173</v>
      </c>
      <c r="F141" s="2" t="s">
        <v>1209</v>
      </c>
      <c r="G141" s="4" t="n">
        <v>46284</v>
      </c>
      <c r="H141" s="2" t="str">
        <f aca="false">IF(C141&gt;CRM_Dashboard!$B$3,"Future-dated",IF(AND(B141=B140,C141&lt;C140),"Date out of sequence",IF(AND(G141&lt;&gt;"",G141&lt;=C141),"Follow-up not after interaction","")))</f>
        <v>Date out of sequence</v>
      </c>
    </row>
    <row r="142" customFormat="false" ht="15" hidden="false" customHeight="false" outlineLevel="0" collapsed="false">
      <c r="A142" s="2" t="s">
        <v>1321</v>
      </c>
      <c r="B142" s="2" t="s">
        <v>252</v>
      </c>
      <c r="C142" s="4" t="n">
        <v>46295</v>
      </c>
      <c r="D142" s="2" t="s">
        <v>1161</v>
      </c>
      <c r="E142" s="2" t="s">
        <v>1167</v>
      </c>
      <c r="F142" s="2"/>
      <c r="G142" s="4"/>
      <c r="H142" s="2" t="str">
        <f aca="false">IF(C142&gt;CRM_Dashboard!$B$3,"Future-dated",IF(AND(B142=B141,C142&lt;C141),"Date out of sequence",IF(AND(G142&lt;&gt;"",G142&lt;=C142),"Follow-up not after interaction","")))</f>
        <v>Future-dated</v>
      </c>
    </row>
    <row r="143" customFormat="false" ht="15" hidden="false" customHeight="false" outlineLevel="0" collapsed="false">
      <c r="A143" s="2" t="s">
        <v>1322</v>
      </c>
      <c r="B143" s="2" t="s">
        <v>252</v>
      </c>
      <c r="C143" s="4" t="n">
        <v>46294</v>
      </c>
      <c r="D143" s="2" t="s">
        <v>1161</v>
      </c>
      <c r="E143" s="2" t="s">
        <v>1188</v>
      </c>
      <c r="F143" s="2" t="s">
        <v>1183</v>
      </c>
      <c r="G143" s="4"/>
      <c r="H143" s="2" t="str">
        <f aca="false">IF(C143&gt;CRM_Dashboard!$B$3,"Future-dated",IF(AND(B143=B142,C143&lt;C142),"Date out of sequence",IF(AND(G143&lt;&gt;"",G143&lt;=C143),"Follow-up not after interaction","")))</f>
        <v>Date out of sequence</v>
      </c>
    </row>
    <row r="144" customFormat="false" ht="15" hidden="false" customHeight="false" outlineLevel="0" collapsed="false">
      <c r="A144" s="2" t="s">
        <v>1323</v>
      </c>
      <c r="B144" s="2" t="s">
        <v>256</v>
      </c>
      <c r="C144" s="4" t="n">
        <v>46240</v>
      </c>
      <c r="D144" s="2" t="s">
        <v>1161</v>
      </c>
      <c r="E144" s="2" t="s">
        <v>1162</v>
      </c>
      <c r="F144" s="2"/>
      <c r="G144" s="4"/>
      <c r="H144" s="2" t="str">
        <f aca="false">IF(C144&gt;CRM_Dashboard!$B$3,"Future-dated",IF(AND(B144=B143,C144&lt;C143),"Date out of sequence",IF(AND(G144&lt;&gt;"",G144&lt;=C144),"Follow-up not after interaction","")))</f>
        <v/>
      </c>
    </row>
    <row r="145" customFormat="false" ht="15" hidden="false" customHeight="false" outlineLevel="0" collapsed="false">
      <c r="A145" s="2" t="s">
        <v>1324</v>
      </c>
      <c r="B145" s="2" t="s">
        <v>256</v>
      </c>
      <c r="C145" s="4" t="n">
        <v>46236</v>
      </c>
      <c r="D145" s="2" t="s">
        <v>1161</v>
      </c>
      <c r="E145" s="2" t="s">
        <v>1162</v>
      </c>
      <c r="F145" s="2"/>
      <c r="G145" s="4"/>
      <c r="H145" s="2" t="str">
        <f aca="false">IF(C145&gt;CRM_Dashboard!$B$3,"Future-dated",IF(AND(B145=B144,C145&lt;C144),"Date out of sequence",IF(AND(G145&lt;&gt;"",G145&lt;=C145),"Follow-up not after interaction","")))</f>
        <v>Date out of sequence</v>
      </c>
    </row>
    <row r="146" customFormat="false" ht="15" hidden="false" customHeight="false" outlineLevel="0" collapsed="false">
      <c r="A146" s="2" t="s">
        <v>1325</v>
      </c>
      <c r="B146" s="2" t="s">
        <v>256</v>
      </c>
      <c r="C146" s="4" t="n">
        <v>46241</v>
      </c>
      <c r="D146" s="2" t="s">
        <v>1161</v>
      </c>
      <c r="E146" s="2" t="s">
        <v>1176</v>
      </c>
      <c r="F146" s="2"/>
      <c r="G146" s="4"/>
      <c r="H146" s="2" t="str">
        <f aca="false">IF(C146&gt;CRM_Dashboard!$B$3,"Future-dated",IF(AND(B146=B145,C146&lt;C145),"Date out of sequence",IF(AND(G146&lt;&gt;"",G146&lt;=C146),"Follow-up not after interaction","")))</f>
        <v/>
      </c>
    </row>
    <row r="147" customFormat="false" ht="15" hidden="false" customHeight="false" outlineLevel="0" collapsed="false">
      <c r="A147" s="2" t="s">
        <v>1326</v>
      </c>
      <c r="B147" s="2" t="s">
        <v>256</v>
      </c>
      <c r="C147" s="4" t="n">
        <v>46243</v>
      </c>
      <c r="D147" s="2" t="s">
        <v>1161</v>
      </c>
      <c r="E147" s="2" t="s">
        <v>1167</v>
      </c>
      <c r="F147" s="2" t="s">
        <v>1203</v>
      </c>
      <c r="G147" s="4" t="n">
        <v>46239</v>
      </c>
      <c r="H147" s="2" t="str">
        <f aca="false">IF(C147&gt;CRM_Dashboard!$B$3,"Future-dated",IF(AND(B147=B146,C147&lt;C146),"Date out of sequence",IF(AND(G147&lt;&gt;"",G147&lt;=C147),"Follow-up not after interaction","")))</f>
        <v>Follow-up not after interaction</v>
      </c>
    </row>
    <row r="148" customFormat="false" ht="15" hidden="false" customHeight="false" outlineLevel="0" collapsed="false">
      <c r="A148" s="2" t="s">
        <v>1327</v>
      </c>
      <c r="B148" s="2" t="s">
        <v>260</v>
      </c>
      <c r="C148" s="4" t="n">
        <v>46283</v>
      </c>
      <c r="D148" s="2" t="s">
        <v>1161</v>
      </c>
      <c r="E148" s="2" t="s">
        <v>1188</v>
      </c>
      <c r="F148" s="2"/>
      <c r="G148" s="4"/>
      <c r="H148" s="2" t="str">
        <f aca="false">IF(C148&gt;CRM_Dashboard!$B$3,"Future-dated",IF(AND(B148=B147,C148&lt;C147),"Date out of sequence",IF(AND(G148&lt;&gt;"",G148&lt;=C148),"Follow-up not after interaction","")))</f>
        <v/>
      </c>
    </row>
    <row r="149" customFormat="false" ht="15" hidden="false" customHeight="false" outlineLevel="0" collapsed="false">
      <c r="A149" s="2" t="s">
        <v>1328</v>
      </c>
      <c r="B149" s="2" t="s">
        <v>260</v>
      </c>
      <c r="C149" s="4" t="n">
        <v>46287</v>
      </c>
      <c r="D149" s="2" t="s">
        <v>1161</v>
      </c>
      <c r="E149" s="2" t="s">
        <v>1176</v>
      </c>
      <c r="F149" s="2" t="s">
        <v>1165</v>
      </c>
      <c r="G149" s="4" t="n">
        <v>46288</v>
      </c>
      <c r="H149" s="2" t="str">
        <f aca="false">IF(C149&gt;CRM_Dashboard!$B$3,"Future-dated",IF(AND(B149=B148,C149&lt;C148),"Date out of sequence",IF(AND(G149&lt;&gt;"",G149&lt;=C149),"Follow-up not after interaction","")))</f>
        <v/>
      </c>
    </row>
    <row r="150" customFormat="false" ht="15" hidden="false" customHeight="false" outlineLevel="0" collapsed="false">
      <c r="A150" s="2" t="s">
        <v>1329</v>
      </c>
      <c r="B150" s="2" t="s">
        <v>264</v>
      </c>
      <c r="C150" s="4" t="n">
        <v>46288</v>
      </c>
      <c r="D150" s="2" t="s">
        <v>1161</v>
      </c>
      <c r="E150" s="2" t="s">
        <v>1162</v>
      </c>
      <c r="F150" s="2"/>
      <c r="G150" s="4"/>
      <c r="H150" s="2" t="str">
        <f aca="false">IF(C150&gt;CRM_Dashboard!$B$3,"Future-dated",IF(AND(B150=B149,C150&lt;C149),"Date out of sequence",IF(AND(G150&lt;&gt;"",G150&lt;=C150),"Follow-up not after interaction","")))</f>
        <v/>
      </c>
    </row>
    <row r="151" customFormat="false" ht="15" hidden="false" customHeight="false" outlineLevel="0" collapsed="false">
      <c r="A151" s="2" t="s">
        <v>1330</v>
      </c>
      <c r="B151" s="2" t="s">
        <v>264</v>
      </c>
      <c r="C151" s="4" t="n">
        <v>46290</v>
      </c>
      <c r="D151" s="2" t="s">
        <v>1161</v>
      </c>
      <c r="E151" s="2" t="s">
        <v>1162</v>
      </c>
      <c r="F151" s="2" t="s">
        <v>1174</v>
      </c>
      <c r="G151" s="4"/>
      <c r="H151" s="2" t="str">
        <f aca="false">IF(C151&gt;CRM_Dashboard!$B$3,"Future-dated",IF(AND(B151=B150,C151&lt;C150),"Date out of sequence",IF(AND(G151&lt;&gt;"",G151&lt;=C151),"Follow-up not after interaction","")))</f>
        <v/>
      </c>
    </row>
    <row r="152" customFormat="false" ht="15" hidden="false" customHeight="false" outlineLevel="0" collapsed="false">
      <c r="A152" s="2" t="s">
        <v>1331</v>
      </c>
      <c r="B152" s="2" t="s">
        <v>268</v>
      </c>
      <c r="C152" s="4" t="n">
        <v>46234</v>
      </c>
      <c r="D152" s="2" t="s">
        <v>1161</v>
      </c>
      <c r="E152" s="2" t="s">
        <v>1188</v>
      </c>
      <c r="F152" s="2"/>
      <c r="G152" s="4"/>
      <c r="H152" s="2" t="str">
        <f aca="false">IF(C152&gt;CRM_Dashboard!$B$3,"Future-dated",IF(AND(B152=B151,C152&lt;C151),"Date out of sequence",IF(AND(G152&lt;&gt;"",G152&lt;=C152),"Follow-up not after interaction","")))</f>
        <v/>
      </c>
    </row>
    <row r="153" customFormat="false" ht="15" hidden="false" customHeight="false" outlineLevel="0" collapsed="false">
      <c r="A153" s="2" t="s">
        <v>1332</v>
      </c>
      <c r="B153" s="2" t="s">
        <v>268</v>
      </c>
      <c r="C153" s="4" t="n">
        <v>46238</v>
      </c>
      <c r="D153" s="2" t="s">
        <v>1161</v>
      </c>
      <c r="E153" s="2" t="s">
        <v>1188</v>
      </c>
      <c r="F153" s="2"/>
      <c r="G153" s="4"/>
      <c r="H153" s="2" t="str">
        <f aca="false">IF(C153&gt;CRM_Dashboard!$B$3,"Future-dated",IF(AND(B153=B152,C153&lt;C152),"Date out of sequence",IF(AND(G153&lt;&gt;"",G153&lt;=C153),"Follow-up not after interaction","")))</f>
        <v/>
      </c>
    </row>
    <row r="154" customFormat="false" ht="15" hidden="false" customHeight="false" outlineLevel="0" collapsed="false">
      <c r="A154" s="2" t="s">
        <v>1333</v>
      </c>
      <c r="B154" s="2" t="s">
        <v>268</v>
      </c>
      <c r="C154" s="4" t="n">
        <v>46241</v>
      </c>
      <c r="D154" s="2" t="s">
        <v>1161</v>
      </c>
      <c r="E154" s="2" t="s">
        <v>1176</v>
      </c>
      <c r="F154" s="2" t="s">
        <v>1177</v>
      </c>
      <c r="G154" s="4" t="n">
        <v>46238</v>
      </c>
      <c r="H154" s="2" t="str">
        <f aca="false">IF(C154&gt;CRM_Dashboard!$B$3,"Future-dated",IF(AND(B154=B153,C154&lt;C153),"Date out of sequence",IF(AND(G154&lt;&gt;"",G154&lt;=C154),"Follow-up not after interaction","")))</f>
        <v>Follow-up not after interaction</v>
      </c>
    </row>
    <row r="155" customFormat="false" ht="15" hidden="false" customHeight="false" outlineLevel="0" collapsed="false">
      <c r="A155" s="2" t="s">
        <v>1334</v>
      </c>
      <c r="B155" s="2" t="s">
        <v>272</v>
      </c>
      <c r="C155" s="4" t="n">
        <v>46241</v>
      </c>
      <c r="D155" s="2" t="s">
        <v>1161</v>
      </c>
      <c r="E155" s="2" t="s">
        <v>1162</v>
      </c>
      <c r="F155" s="2"/>
      <c r="G155" s="4"/>
      <c r="H155" s="2" t="str">
        <f aca="false">IF(C155&gt;CRM_Dashboard!$B$3,"Future-dated",IF(AND(B155=B154,C155&lt;C154),"Date out of sequence",IF(AND(G155&lt;&gt;"",G155&lt;=C155),"Follow-up not after interaction","")))</f>
        <v/>
      </c>
    </row>
    <row r="156" customFormat="false" ht="15" hidden="false" customHeight="false" outlineLevel="0" collapsed="false">
      <c r="A156" s="2" t="s">
        <v>1335</v>
      </c>
      <c r="B156" s="2" t="s">
        <v>272</v>
      </c>
      <c r="C156" s="4" t="n">
        <v>46239</v>
      </c>
      <c r="D156" s="2" t="s">
        <v>1161</v>
      </c>
      <c r="E156" s="2" t="s">
        <v>1162</v>
      </c>
      <c r="F156" s="2" t="s">
        <v>1195</v>
      </c>
      <c r="G156" s="4"/>
      <c r="H156" s="2" t="str">
        <f aca="false">IF(C156&gt;CRM_Dashboard!$B$3,"Future-dated",IF(AND(B156=B155,C156&lt;C155),"Date out of sequence",IF(AND(G156&lt;&gt;"",G156&lt;=C156),"Follow-up not after interaction","")))</f>
        <v>Date out of sequence</v>
      </c>
    </row>
    <row r="157" customFormat="false" ht="15" hidden="false" customHeight="false" outlineLevel="0" collapsed="false">
      <c r="A157" s="2" t="s">
        <v>1336</v>
      </c>
      <c r="B157" s="2" t="s">
        <v>275</v>
      </c>
      <c r="C157" s="4" t="n">
        <v>46242</v>
      </c>
      <c r="D157" s="2" t="s">
        <v>1161</v>
      </c>
      <c r="E157" s="2" t="s">
        <v>1176</v>
      </c>
      <c r="F157" s="2"/>
      <c r="G157" s="4"/>
      <c r="H157" s="2" t="str">
        <f aca="false">IF(C157&gt;CRM_Dashboard!$B$3,"Future-dated",IF(AND(B157=B156,C157&lt;C156),"Date out of sequence",IF(AND(G157&lt;&gt;"",G157&lt;=C157),"Follow-up not after interaction","")))</f>
        <v/>
      </c>
    </row>
    <row r="158" customFormat="false" ht="15" hidden="false" customHeight="false" outlineLevel="0" collapsed="false">
      <c r="A158" s="2" t="s">
        <v>1337</v>
      </c>
      <c r="B158" s="2" t="s">
        <v>275</v>
      </c>
      <c r="C158" s="4" t="n">
        <v>46244</v>
      </c>
      <c r="D158" s="2" t="s">
        <v>1161</v>
      </c>
      <c r="E158" s="2" t="s">
        <v>1167</v>
      </c>
      <c r="F158" s="2"/>
      <c r="G158" s="4"/>
      <c r="H158" s="2" t="str">
        <f aca="false">IF(C158&gt;CRM_Dashboard!$B$3,"Future-dated",IF(AND(B158=B157,C158&lt;C157),"Date out of sequence",IF(AND(G158&lt;&gt;"",G158&lt;=C158),"Follow-up not after interaction","")))</f>
        <v/>
      </c>
    </row>
    <row r="159" customFormat="false" ht="15" hidden="false" customHeight="false" outlineLevel="0" collapsed="false">
      <c r="A159" s="2" t="s">
        <v>1338</v>
      </c>
      <c r="B159" s="2" t="s">
        <v>275</v>
      </c>
      <c r="C159" s="4" t="n">
        <v>46242</v>
      </c>
      <c r="D159" s="2" t="s">
        <v>1161</v>
      </c>
      <c r="E159" s="2" t="s">
        <v>1179</v>
      </c>
      <c r="F159" s="2"/>
      <c r="G159" s="4"/>
      <c r="H159" s="2" t="str">
        <f aca="false">IF(C159&gt;CRM_Dashboard!$B$3,"Future-dated",IF(AND(B159=B158,C159&lt;C158),"Date out of sequence",IF(AND(G159&lt;&gt;"",G159&lt;=C159),"Follow-up not after interaction","")))</f>
        <v>Date out of sequence</v>
      </c>
    </row>
    <row r="160" customFormat="false" ht="15" hidden="false" customHeight="false" outlineLevel="0" collapsed="false">
      <c r="A160" s="2" t="s">
        <v>1339</v>
      </c>
      <c r="B160" s="2" t="s">
        <v>275</v>
      </c>
      <c r="C160" s="4" t="n">
        <v>46248</v>
      </c>
      <c r="D160" s="2" t="s">
        <v>1161</v>
      </c>
      <c r="E160" s="2" t="s">
        <v>1188</v>
      </c>
      <c r="F160" s="2" t="s">
        <v>1195</v>
      </c>
      <c r="G160" s="4"/>
      <c r="H160" s="2" t="str">
        <f aca="false">IF(C160&gt;CRM_Dashboard!$B$3,"Future-dated",IF(AND(B160=B159,C160&lt;C159),"Date out of sequence",IF(AND(G160&lt;&gt;"",G160&lt;=C160),"Follow-up not after interaction","")))</f>
        <v/>
      </c>
    </row>
    <row r="161" customFormat="false" ht="15" hidden="false" customHeight="false" outlineLevel="0" collapsed="false">
      <c r="A161" s="2" t="s">
        <v>1340</v>
      </c>
      <c r="B161" s="2" t="s">
        <v>278</v>
      </c>
      <c r="C161" s="4" t="n">
        <v>46226</v>
      </c>
      <c r="D161" s="2" t="s">
        <v>1161</v>
      </c>
      <c r="E161" s="2" t="s">
        <v>1176</v>
      </c>
      <c r="F161" s="2"/>
      <c r="G161" s="4"/>
      <c r="H161" s="2" t="str">
        <f aca="false">IF(C161&gt;CRM_Dashboard!$B$3,"Future-dated",IF(AND(B161=B160,C161&lt;C160),"Date out of sequence",IF(AND(G161&lt;&gt;"",G161&lt;=C161),"Follow-up not after interaction","")))</f>
        <v/>
      </c>
    </row>
    <row r="162" customFormat="false" ht="15" hidden="false" customHeight="false" outlineLevel="0" collapsed="false">
      <c r="A162" s="2" t="s">
        <v>1341</v>
      </c>
      <c r="B162" s="2" t="s">
        <v>278</v>
      </c>
      <c r="C162" s="4" t="n">
        <v>46229</v>
      </c>
      <c r="D162" s="2" t="s">
        <v>1161</v>
      </c>
      <c r="E162" s="2" t="s">
        <v>1176</v>
      </c>
      <c r="F162" s="2"/>
      <c r="G162" s="4"/>
      <c r="H162" s="2" t="str">
        <f aca="false">IF(C162&gt;CRM_Dashboard!$B$3,"Future-dated",IF(AND(B162=B161,C162&lt;C161),"Date out of sequence",IF(AND(G162&lt;&gt;"",G162&lt;=C162),"Follow-up not after interaction","")))</f>
        <v/>
      </c>
    </row>
    <row r="163" customFormat="false" ht="15" hidden="false" customHeight="false" outlineLevel="0" collapsed="false">
      <c r="A163" s="2" t="s">
        <v>1342</v>
      </c>
      <c r="B163" s="2" t="s">
        <v>278</v>
      </c>
      <c r="C163" s="4" t="n">
        <v>46232</v>
      </c>
      <c r="D163" s="2" t="s">
        <v>1161</v>
      </c>
      <c r="E163" s="2" t="s">
        <v>1162</v>
      </c>
      <c r="F163" s="2"/>
      <c r="G163" s="4"/>
      <c r="H163" s="2" t="str">
        <f aca="false">IF(C163&gt;CRM_Dashboard!$B$3,"Future-dated",IF(AND(B163=B162,C163&lt;C162),"Date out of sequence",IF(AND(G163&lt;&gt;"",G163&lt;=C163),"Follow-up not after interaction","")))</f>
        <v/>
      </c>
    </row>
    <row r="164" customFormat="false" ht="15" hidden="false" customHeight="false" outlineLevel="0" collapsed="false">
      <c r="A164" s="2" t="s">
        <v>1343</v>
      </c>
      <c r="B164" s="2" t="s">
        <v>278</v>
      </c>
      <c r="C164" s="4" t="n">
        <v>46232</v>
      </c>
      <c r="D164" s="2" t="s">
        <v>1235</v>
      </c>
      <c r="E164" s="2" t="s">
        <v>1236</v>
      </c>
      <c r="F164" s="2" t="s">
        <v>1165</v>
      </c>
      <c r="G164" s="4" t="n">
        <v>46234</v>
      </c>
      <c r="H164" s="2" t="str">
        <f aca="false">IF(C164&gt;CRM_Dashboard!$B$3,"Future-dated",IF(AND(B164=B163,C164&lt;C163),"Date out of sequence",IF(AND(G164&lt;&gt;"",G164&lt;=C164),"Follow-up not after interaction","")))</f>
        <v/>
      </c>
    </row>
    <row r="165" customFormat="false" ht="15" hidden="false" customHeight="false" outlineLevel="0" collapsed="false">
      <c r="A165" s="2" t="s">
        <v>1344</v>
      </c>
      <c r="B165" s="2" t="s">
        <v>282</v>
      </c>
      <c r="C165" s="4" t="n">
        <v>46248</v>
      </c>
      <c r="D165" s="2" t="s">
        <v>1161</v>
      </c>
      <c r="E165" s="2" t="s">
        <v>1188</v>
      </c>
      <c r="F165" s="2"/>
      <c r="G165" s="4"/>
      <c r="H165" s="2" t="str">
        <f aca="false">IF(C165&gt;CRM_Dashboard!$B$3,"Future-dated",IF(AND(B165=B164,C165&lt;C164),"Date out of sequence",IF(AND(G165&lt;&gt;"",G165&lt;=C165),"Follow-up not after interaction","")))</f>
        <v/>
      </c>
    </row>
    <row r="166" customFormat="false" ht="15" hidden="false" customHeight="false" outlineLevel="0" collapsed="false">
      <c r="A166" s="2" t="s">
        <v>1345</v>
      </c>
      <c r="B166" s="2" t="s">
        <v>282</v>
      </c>
      <c r="C166" s="4" t="n">
        <v>46250</v>
      </c>
      <c r="D166" s="2" t="s">
        <v>1161</v>
      </c>
      <c r="E166" s="2" t="s">
        <v>1173</v>
      </c>
      <c r="F166" s="2"/>
      <c r="G166" s="4"/>
      <c r="H166" s="2" t="str">
        <f aca="false">IF(C166&gt;CRM_Dashboard!$B$3,"Future-dated",IF(AND(B166=B165,C166&lt;C165),"Date out of sequence",IF(AND(G166&lt;&gt;"",G166&lt;=C166),"Follow-up not after interaction","")))</f>
        <v/>
      </c>
    </row>
    <row r="167" customFormat="false" ht="15" hidden="false" customHeight="false" outlineLevel="0" collapsed="false">
      <c r="A167" s="2" t="s">
        <v>1346</v>
      </c>
      <c r="B167" s="2" t="s">
        <v>282</v>
      </c>
      <c r="C167" s="4" t="n">
        <v>46246</v>
      </c>
      <c r="D167" s="2" t="s">
        <v>1161</v>
      </c>
      <c r="E167" s="2" t="s">
        <v>1171</v>
      </c>
      <c r="F167" s="2"/>
      <c r="G167" s="4"/>
      <c r="H167" s="2" t="str">
        <f aca="false">IF(C167&gt;CRM_Dashboard!$B$3,"Future-dated",IF(AND(B167=B166,C167&lt;C166),"Date out of sequence",IF(AND(G167&lt;&gt;"",G167&lt;=C167),"Follow-up not after interaction","")))</f>
        <v>Date out of sequence</v>
      </c>
    </row>
    <row r="168" customFormat="false" ht="15" hidden="false" customHeight="false" outlineLevel="0" collapsed="false">
      <c r="A168" s="2" t="s">
        <v>1347</v>
      </c>
      <c r="B168" s="2" t="s">
        <v>282</v>
      </c>
      <c r="C168" s="4" t="n">
        <v>46246</v>
      </c>
      <c r="D168" s="2" t="s">
        <v>1161</v>
      </c>
      <c r="E168" s="2" t="s">
        <v>1252</v>
      </c>
      <c r="F168" s="2" t="s">
        <v>1203</v>
      </c>
      <c r="G168" s="4"/>
      <c r="H168" s="2" t="str">
        <f aca="false">IF(C168&gt;CRM_Dashboard!$B$3,"Future-dated",IF(AND(B168=B167,C168&lt;C167),"Date out of sequence",IF(AND(G168&lt;&gt;"",G168&lt;=C168),"Follow-up not after interaction","")))</f>
        <v/>
      </c>
    </row>
    <row r="169" customFormat="false" ht="15" hidden="false" customHeight="false" outlineLevel="0" collapsed="false">
      <c r="A169" s="2" t="s">
        <v>1348</v>
      </c>
      <c r="B169" s="2" t="s">
        <v>286</v>
      </c>
      <c r="C169" s="4" t="n">
        <v>46206</v>
      </c>
      <c r="D169" s="2" t="s">
        <v>1161</v>
      </c>
      <c r="E169" s="2" t="s">
        <v>1176</v>
      </c>
      <c r="F169" s="2"/>
      <c r="G169" s="4"/>
      <c r="H169" s="2" t="str">
        <f aca="false">IF(C169&gt;CRM_Dashboard!$B$3,"Future-dated",IF(AND(B169=B168,C169&lt;C168),"Date out of sequence",IF(AND(G169&lt;&gt;"",G169&lt;=C169),"Follow-up not after interaction","")))</f>
        <v/>
      </c>
    </row>
    <row r="170" customFormat="false" ht="15" hidden="false" customHeight="false" outlineLevel="0" collapsed="false">
      <c r="A170" s="2" t="s">
        <v>1349</v>
      </c>
      <c r="B170" s="2" t="s">
        <v>286</v>
      </c>
      <c r="C170" s="4" t="n">
        <v>46205</v>
      </c>
      <c r="D170" s="2" t="s">
        <v>1161</v>
      </c>
      <c r="E170" s="2" t="s">
        <v>1162</v>
      </c>
      <c r="F170" s="2"/>
      <c r="G170" s="4"/>
      <c r="H170" s="2" t="str">
        <f aca="false">IF(C170&gt;CRM_Dashboard!$B$3,"Future-dated",IF(AND(B170=B169,C170&lt;C169),"Date out of sequence",IF(AND(G170&lt;&gt;"",G170&lt;=C170),"Follow-up not after interaction","")))</f>
        <v>Date out of sequence</v>
      </c>
    </row>
    <row r="171" customFormat="false" ht="15" hidden="false" customHeight="false" outlineLevel="0" collapsed="false">
      <c r="A171" s="2" t="s">
        <v>1350</v>
      </c>
      <c r="B171" s="2" t="s">
        <v>286</v>
      </c>
      <c r="C171" s="4" t="n">
        <v>46211</v>
      </c>
      <c r="D171" s="2" t="s">
        <v>1161</v>
      </c>
      <c r="E171" s="2" t="s">
        <v>1173</v>
      </c>
      <c r="F171" s="2"/>
      <c r="G171" s="4"/>
      <c r="H171" s="2" t="str">
        <f aca="false">IF(C171&gt;CRM_Dashboard!$B$3,"Future-dated",IF(AND(B171=B170,C171&lt;C170),"Date out of sequence",IF(AND(G171&lt;&gt;"",G171&lt;=C171),"Follow-up not after interaction","")))</f>
        <v/>
      </c>
    </row>
    <row r="172" customFormat="false" ht="15" hidden="false" customHeight="false" outlineLevel="0" collapsed="false">
      <c r="A172" s="2" t="s">
        <v>1351</v>
      </c>
      <c r="B172" s="2" t="s">
        <v>286</v>
      </c>
      <c r="C172" s="4" t="n">
        <v>46207</v>
      </c>
      <c r="D172" s="2" t="s">
        <v>1161</v>
      </c>
      <c r="E172" s="2" t="s">
        <v>1188</v>
      </c>
      <c r="F172" s="2" t="s">
        <v>1195</v>
      </c>
      <c r="G172" s="4"/>
      <c r="H172" s="2" t="str">
        <f aca="false">IF(C172&gt;CRM_Dashboard!$B$3,"Future-dated",IF(AND(B172=B171,C172&lt;C171),"Date out of sequence",IF(AND(G172&lt;&gt;"",G172&lt;=C172),"Follow-up not after interaction","")))</f>
        <v>Date out of sequence</v>
      </c>
    </row>
    <row r="173" customFormat="false" ht="15" hidden="false" customHeight="false" outlineLevel="0" collapsed="false">
      <c r="A173" s="2" t="s">
        <v>1352</v>
      </c>
      <c r="B173" s="2" t="s">
        <v>290</v>
      </c>
      <c r="C173" s="4" t="n">
        <v>46295</v>
      </c>
      <c r="D173" s="2" t="s">
        <v>1161</v>
      </c>
      <c r="E173" s="2" t="s">
        <v>1162</v>
      </c>
      <c r="F173" s="2"/>
      <c r="G173" s="4"/>
      <c r="H173" s="2" t="str">
        <f aca="false">IF(C173&gt;CRM_Dashboard!$B$3,"Future-dated",IF(AND(B173=B172,C173&lt;C172),"Date out of sequence",IF(AND(G173&lt;&gt;"",G173&lt;=C173),"Follow-up not after interaction","")))</f>
        <v>Future-dated</v>
      </c>
    </row>
    <row r="174" customFormat="false" ht="15" hidden="false" customHeight="false" outlineLevel="0" collapsed="false">
      <c r="A174" s="2" t="s">
        <v>1353</v>
      </c>
      <c r="B174" s="2" t="s">
        <v>290</v>
      </c>
      <c r="C174" s="4" t="n">
        <v>46299</v>
      </c>
      <c r="D174" s="2" t="s">
        <v>1161</v>
      </c>
      <c r="E174" s="2" t="s">
        <v>1171</v>
      </c>
      <c r="F174" s="2"/>
      <c r="G174" s="4"/>
      <c r="H174" s="2" t="str">
        <f aca="false">IF(C174&gt;CRM_Dashboard!$B$3,"Future-dated",IF(AND(B174=B173,C174&lt;C173),"Date out of sequence",IF(AND(G174&lt;&gt;"",G174&lt;=C174),"Follow-up not after interaction","")))</f>
        <v>Future-dated</v>
      </c>
    </row>
    <row r="175" customFormat="false" ht="15" hidden="false" customHeight="false" outlineLevel="0" collapsed="false">
      <c r="A175" s="2" t="s">
        <v>1354</v>
      </c>
      <c r="B175" s="2" t="s">
        <v>290</v>
      </c>
      <c r="C175" s="4" t="n">
        <v>46301</v>
      </c>
      <c r="D175" s="2" t="s">
        <v>1161</v>
      </c>
      <c r="E175" s="2" t="s">
        <v>1167</v>
      </c>
      <c r="F175" s="2"/>
      <c r="G175" s="4"/>
      <c r="H175" s="2" t="str">
        <f aca="false">IF(C175&gt;CRM_Dashboard!$B$3,"Future-dated",IF(AND(B175=B174,C175&lt;C174),"Date out of sequence",IF(AND(G175&lt;&gt;"",G175&lt;=C175),"Follow-up not after interaction","")))</f>
        <v>Future-dated</v>
      </c>
    </row>
    <row r="176" customFormat="false" ht="15" hidden="false" customHeight="false" outlineLevel="0" collapsed="false">
      <c r="A176" s="2" t="s">
        <v>1355</v>
      </c>
      <c r="B176" s="2" t="s">
        <v>290</v>
      </c>
      <c r="C176" s="4" t="n">
        <v>46302</v>
      </c>
      <c r="D176" s="2" t="s">
        <v>1161</v>
      </c>
      <c r="E176" s="2" t="s">
        <v>1162</v>
      </c>
      <c r="F176" s="2" t="s">
        <v>1165</v>
      </c>
      <c r="G176" s="4"/>
      <c r="H176" s="2" t="str">
        <f aca="false">IF(C176&gt;CRM_Dashboard!$B$3,"Future-dated",IF(AND(B176=B175,C176&lt;C175),"Date out of sequence",IF(AND(G176&lt;&gt;"",G176&lt;=C176),"Follow-up not after interaction","")))</f>
        <v>Future-dated</v>
      </c>
    </row>
    <row r="177" customFormat="false" ht="15" hidden="false" customHeight="false" outlineLevel="0" collapsed="false">
      <c r="A177" s="2" t="s">
        <v>1356</v>
      </c>
      <c r="B177" s="2" t="s">
        <v>294</v>
      </c>
      <c r="C177" s="4" t="n">
        <v>46287</v>
      </c>
      <c r="D177" s="2" t="s">
        <v>1161</v>
      </c>
      <c r="E177" s="2" t="s">
        <v>1176</v>
      </c>
      <c r="F177" s="2"/>
      <c r="G177" s="4"/>
      <c r="H177" s="2" t="str">
        <f aca="false">IF(C177&gt;CRM_Dashboard!$B$3,"Future-dated",IF(AND(B177=B176,C177&lt;C176),"Date out of sequence",IF(AND(G177&lt;&gt;"",G177&lt;=C177),"Follow-up not after interaction","")))</f>
        <v/>
      </c>
    </row>
    <row r="178" customFormat="false" ht="15" hidden="false" customHeight="false" outlineLevel="0" collapsed="false">
      <c r="A178" s="2" t="s">
        <v>1357</v>
      </c>
      <c r="B178" s="2" t="s">
        <v>294</v>
      </c>
      <c r="C178" s="4" t="n">
        <v>46292</v>
      </c>
      <c r="D178" s="2" t="s">
        <v>1161</v>
      </c>
      <c r="E178" s="2" t="s">
        <v>1188</v>
      </c>
      <c r="F178" s="2" t="s">
        <v>1174</v>
      </c>
      <c r="G178" s="4"/>
      <c r="H178" s="2" t="str">
        <f aca="false">IF(C178&gt;CRM_Dashboard!$B$3,"Future-dated",IF(AND(B178=B177,C178&lt;C177),"Date out of sequence",IF(AND(G178&lt;&gt;"",G178&lt;=C178),"Follow-up not after interaction","")))</f>
        <v/>
      </c>
    </row>
    <row r="179" customFormat="false" ht="15" hidden="false" customHeight="false" outlineLevel="0" collapsed="false">
      <c r="A179" s="2" t="s">
        <v>1358</v>
      </c>
      <c r="B179" s="2" t="s">
        <v>297</v>
      </c>
      <c r="C179" s="4" t="n">
        <v>46254</v>
      </c>
      <c r="D179" s="2" t="s">
        <v>1161</v>
      </c>
      <c r="E179" s="2" t="s">
        <v>1185</v>
      </c>
      <c r="F179" s="2"/>
      <c r="G179" s="4"/>
      <c r="H179" s="2" t="str">
        <f aca="false">IF(C179&gt;CRM_Dashboard!$B$3,"Future-dated",IF(AND(B179=B178,C179&lt;C178),"Date out of sequence",IF(AND(G179&lt;&gt;"",G179&lt;=C179),"Follow-up not after interaction","")))</f>
        <v/>
      </c>
    </row>
    <row r="180" customFormat="false" ht="15" hidden="false" customHeight="false" outlineLevel="0" collapsed="false">
      <c r="A180" s="2" t="s">
        <v>1359</v>
      </c>
      <c r="B180" s="2" t="s">
        <v>297</v>
      </c>
      <c r="C180" s="4" t="n">
        <v>46255</v>
      </c>
      <c r="D180" s="2" t="s">
        <v>1161</v>
      </c>
      <c r="E180" s="2" t="s">
        <v>1176</v>
      </c>
      <c r="F180" s="2" t="s">
        <v>1195</v>
      </c>
      <c r="G180" s="4" t="n">
        <v>46255</v>
      </c>
      <c r="H180" s="2" t="str">
        <f aca="false">IF(C180&gt;CRM_Dashboard!$B$3,"Future-dated",IF(AND(B180=B179,C180&lt;C179),"Date out of sequence",IF(AND(G180&lt;&gt;"",G180&lt;=C180),"Follow-up not after interaction","")))</f>
        <v>Follow-up not after interaction</v>
      </c>
    </row>
    <row r="181" customFormat="false" ht="15" hidden="false" customHeight="false" outlineLevel="0" collapsed="false">
      <c r="A181" s="2" t="s">
        <v>1360</v>
      </c>
      <c r="B181" s="2" t="s">
        <v>301</v>
      </c>
      <c r="C181" s="4" t="n">
        <v>46282</v>
      </c>
      <c r="D181" s="2" t="s">
        <v>1161</v>
      </c>
      <c r="E181" s="2" t="s">
        <v>1179</v>
      </c>
      <c r="F181" s="2"/>
      <c r="G181" s="4"/>
      <c r="H181" s="2" t="str">
        <f aca="false">IF(C181&gt;CRM_Dashboard!$B$3,"Future-dated",IF(AND(B181=B180,C181&lt;C180),"Date out of sequence",IF(AND(G181&lt;&gt;"",G181&lt;=C181),"Follow-up not after interaction","")))</f>
        <v/>
      </c>
    </row>
    <row r="182" customFormat="false" ht="15" hidden="false" customHeight="false" outlineLevel="0" collapsed="false">
      <c r="A182" s="2" t="s">
        <v>1361</v>
      </c>
      <c r="B182" s="2" t="s">
        <v>301</v>
      </c>
      <c r="C182" s="4" t="n">
        <v>46280</v>
      </c>
      <c r="D182" s="2" t="s">
        <v>1161</v>
      </c>
      <c r="E182" s="2" t="s">
        <v>1176</v>
      </c>
      <c r="F182" s="2"/>
      <c r="G182" s="4"/>
      <c r="H182" s="2" t="str">
        <f aca="false">IF(C182&gt;CRM_Dashboard!$B$3,"Future-dated",IF(AND(B182=B181,C182&lt;C181),"Date out of sequence",IF(AND(G182&lt;&gt;"",G182&lt;=C182),"Follow-up not after interaction","")))</f>
        <v>Date out of sequence</v>
      </c>
    </row>
    <row r="183" customFormat="false" ht="15" hidden="false" customHeight="false" outlineLevel="0" collapsed="false">
      <c r="A183" s="2" t="s">
        <v>1362</v>
      </c>
      <c r="B183" s="2" t="s">
        <v>301</v>
      </c>
      <c r="C183" s="4" t="n">
        <v>46280</v>
      </c>
      <c r="D183" s="2" t="s">
        <v>1161</v>
      </c>
      <c r="E183" s="2" t="s">
        <v>1176</v>
      </c>
      <c r="F183" s="2"/>
      <c r="G183" s="4"/>
      <c r="H183" s="2" t="str">
        <f aca="false">IF(C183&gt;CRM_Dashboard!$B$3,"Future-dated",IF(AND(B183=B182,C183&lt;C182),"Date out of sequence",IF(AND(G183&lt;&gt;"",G183&lt;=C183),"Follow-up not after interaction","")))</f>
        <v/>
      </c>
    </row>
    <row r="184" customFormat="false" ht="15" hidden="false" customHeight="false" outlineLevel="0" collapsed="false">
      <c r="A184" s="2" t="s">
        <v>1363</v>
      </c>
      <c r="B184" s="2" t="s">
        <v>301</v>
      </c>
      <c r="C184" s="4" t="n">
        <v>46281</v>
      </c>
      <c r="D184" s="2" t="s">
        <v>1161</v>
      </c>
      <c r="E184" s="2" t="s">
        <v>1173</v>
      </c>
      <c r="F184" s="2" t="s">
        <v>1203</v>
      </c>
      <c r="G184" s="4" t="n">
        <v>46286</v>
      </c>
      <c r="H184" s="2" t="str">
        <f aca="false">IF(C184&gt;CRM_Dashboard!$B$3,"Future-dated",IF(AND(B184=B183,C184&lt;C183),"Date out of sequence",IF(AND(G184&lt;&gt;"",G184&lt;=C184),"Follow-up not after interaction","")))</f>
        <v/>
      </c>
    </row>
    <row r="185" customFormat="false" ht="15" hidden="false" customHeight="false" outlineLevel="0" collapsed="false">
      <c r="A185" s="2" t="s">
        <v>1364</v>
      </c>
      <c r="B185" s="2" t="s">
        <v>305</v>
      </c>
      <c r="C185" s="4" t="n">
        <v>46257</v>
      </c>
      <c r="D185" s="2" t="s">
        <v>1161</v>
      </c>
      <c r="E185" s="2" t="s">
        <v>1173</v>
      </c>
      <c r="F185" s="2" t="s">
        <v>1168</v>
      </c>
      <c r="G185" s="4" t="n">
        <v>46263</v>
      </c>
      <c r="H185" s="2" t="str">
        <f aca="false">IF(C185&gt;CRM_Dashboard!$B$3,"Future-dated",IF(AND(B185=B184,C185&lt;C184),"Date out of sequence",IF(AND(G185&lt;&gt;"",G185&lt;=C185),"Follow-up not after interaction","")))</f>
        <v/>
      </c>
    </row>
    <row r="186" customFormat="false" ht="15" hidden="false" customHeight="false" outlineLevel="0" collapsed="false">
      <c r="A186" s="2" t="s">
        <v>1365</v>
      </c>
      <c r="B186" s="2" t="s">
        <v>309</v>
      </c>
      <c r="C186" s="4" t="n">
        <v>46250</v>
      </c>
      <c r="D186" s="2" t="s">
        <v>1161</v>
      </c>
      <c r="E186" s="2" t="s">
        <v>1179</v>
      </c>
      <c r="F186" s="2" t="s">
        <v>1168</v>
      </c>
      <c r="G186" s="4"/>
      <c r="H186" s="2" t="str">
        <f aca="false">IF(C186&gt;CRM_Dashboard!$B$3,"Future-dated",IF(AND(B186=B185,C186&lt;C185),"Date out of sequence",IF(AND(G186&lt;&gt;"",G186&lt;=C186),"Follow-up not after interaction","")))</f>
        <v/>
      </c>
    </row>
    <row r="187" customFormat="false" ht="15" hidden="false" customHeight="false" outlineLevel="0" collapsed="false">
      <c r="A187" s="2" t="s">
        <v>1366</v>
      </c>
      <c r="B187" s="2" t="s">
        <v>313</v>
      </c>
      <c r="C187" s="4" t="n">
        <v>46237</v>
      </c>
      <c r="D187" s="2" t="s">
        <v>1161</v>
      </c>
      <c r="E187" s="2" t="s">
        <v>1167</v>
      </c>
      <c r="F187" s="2"/>
      <c r="G187" s="4"/>
      <c r="H187" s="2" t="str">
        <f aca="false">IF(C187&gt;CRM_Dashboard!$B$3,"Future-dated",IF(AND(B187=B186,C187&lt;C186),"Date out of sequence",IF(AND(G187&lt;&gt;"",G187&lt;=C187),"Follow-up not after interaction","")))</f>
        <v/>
      </c>
    </row>
    <row r="188" customFormat="false" ht="15" hidden="false" customHeight="false" outlineLevel="0" collapsed="false">
      <c r="A188" s="2" t="s">
        <v>1367</v>
      </c>
      <c r="B188" s="2" t="s">
        <v>313</v>
      </c>
      <c r="C188" s="4" t="n">
        <v>46240</v>
      </c>
      <c r="D188" s="2" t="s">
        <v>1161</v>
      </c>
      <c r="E188" s="2" t="s">
        <v>1176</v>
      </c>
      <c r="F188" s="2"/>
      <c r="G188" s="4"/>
      <c r="H188" s="2" t="str">
        <f aca="false">IF(C188&gt;CRM_Dashboard!$B$3,"Future-dated",IF(AND(B188=B187,C188&lt;C187),"Date out of sequence",IF(AND(G188&lt;&gt;"",G188&lt;=C188),"Follow-up not after interaction","")))</f>
        <v/>
      </c>
    </row>
    <row r="189" customFormat="false" ht="15" hidden="false" customHeight="false" outlineLevel="0" collapsed="false">
      <c r="A189" s="2" t="s">
        <v>1368</v>
      </c>
      <c r="B189" s="2" t="s">
        <v>313</v>
      </c>
      <c r="C189" s="4" t="n">
        <v>46237</v>
      </c>
      <c r="D189" s="2" t="s">
        <v>1161</v>
      </c>
      <c r="E189" s="2" t="s">
        <v>1162</v>
      </c>
      <c r="F189" s="2" t="s">
        <v>1174</v>
      </c>
      <c r="G189" s="4"/>
      <c r="H189" s="2" t="str">
        <f aca="false">IF(C189&gt;CRM_Dashboard!$B$3,"Future-dated",IF(AND(B189=B188,C189&lt;C188),"Date out of sequence",IF(AND(G189&lt;&gt;"",G189&lt;=C189),"Follow-up not after interaction","")))</f>
        <v>Date out of sequence</v>
      </c>
    </row>
    <row r="190" customFormat="false" ht="15" hidden="false" customHeight="false" outlineLevel="0" collapsed="false">
      <c r="A190" s="2" t="s">
        <v>1369</v>
      </c>
      <c r="B190" s="2" t="s">
        <v>317</v>
      </c>
      <c r="C190" s="4" t="n">
        <v>46211</v>
      </c>
      <c r="D190" s="2" t="s">
        <v>1161</v>
      </c>
      <c r="E190" s="2" t="s">
        <v>1162</v>
      </c>
      <c r="F190" s="2" t="s">
        <v>1165</v>
      </c>
      <c r="G190" s="4"/>
      <c r="H190" s="2" t="str">
        <f aca="false">IF(C190&gt;CRM_Dashboard!$B$3,"Future-dated",IF(AND(B190=B189,C190&lt;C189),"Date out of sequence",IF(AND(G190&lt;&gt;"",G190&lt;=C190),"Follow-up not after interaction","")))</f>
        <v/>
      </c>
    </row>
    <row r="191" customFormat="false" ht="15" hidden="false" customHeight="false" outlineLevel="0" collapsed="false">
      <c r="A191" s="2" t="s">
        <v>1370</v>
      </c>
      <c r="B191" s="2" t="s">
        <v>320</v>
      </c>
      <c r="C191" s="4" t="n">
        <v>46294</v>
      </c>
      <c r="D191" s="2" t="s">
        <v>1161</v>
      </c>
      <c r="E191" s="2" t="s">
        <v>1205</v>
      </c>
      <c r="F191" s="2"/>
      <c r="G191" s="4"/>
      <c r="H191" s="2" t="str">
        <f aca="false">IF(C191&gt;CRM_Dashboard!$B$3,"Future-dated",IF(AND(B191=B190,C191&lt;C190),"Date out of sequence",IF(AND(G191&lt;&gt;"",G191&lt;=C191),"Follow-up not after interaction","")))</f>
        <v/>
      </c>
    </row>
    <row r="192" customFormat="false" ht="15" hidden="false" customHeight="false" outlineLevel="0" collapsed="false">
      <c r="A192" s="2" t="s">
        <v>1371</v>
      </c>
      <c r="B192" s="2" t="s">
        <v>320</v>
      </c>
      <c r="C192" s="4" t="n">
        <v>46296</v>
      </c>
      <c r="D192" s="2" t="s">
        <v>1161</v>
      </c>
      <c r="E192" s="2" t="s">
        <v>1162</v>
      </c>
      <c r="F192" s="2"/>
      <c r="G192" s="4"/>
      <c r="H192" s="2" t="str">
        <f aca="false">IF(C192&gt;CRM_Dashboard!$B$3,"Future-dated",IF(AND(B192=B191,C192&lt;C191),"Date out of sequence",IF(AND(G192&lt;&gt;"",G192&lt;=C192),"Follow-up not after interaction","")))</f>
        <v>Future-dated</v>
      </c>
    </row>
    <row r="193" customFormat="false" ht="15" hidden="false" customHeight="false" outlineLevel="0" collapsed="false">
      <c r="A193" s="2" t="s">
        <v>1372</v>
      </c>
      <c r="B193" s="2" t="s">
        <v>320</v>
      </c>
      <c r="C193" s="4" t="n">
        <v>46296</v>
      </c>
      <c r="D193" s="2" t="s">
        <v>1161</v>
      </c>
      <c r="E193" s="2" t="s">
        <v>1252</v>
      </c>
      <c r="F193" s="2" t="s">
        <v>1168</v>
      </c>
      <c r="G193" s="4"/>
      <c r="H193" s="2" t="str">
        <f aca="false">IF(C193&gt;CRM_Dashboard!$B$3,"Future-dated",IF(AND(B193=B192,C193&lt;C192),"Date out of sequence",IF(AND(G193&lt;&gt;"",G193&lt;=C193),"Follow-up not after interaction","")))</f>
        <v>Future-dated</v>
      </c>
    </row>
    <row r="194" customFormat="false" ht="15" hidden="false" customHeight="false" outlineLevel="0" collapsed="false">
      <c r="A194" s="2" t="s">
        <v>1373</v>
      </c>
      <c r="B194" s="2" t="s">
        <v>324</v>
      </c>
      <c r="C194" s="4" t="n">
        <v>46215</v>
      </c>
      <c r="D194" s="2" t="s">
        <v>1161</v>
      </c>
      <c r="E194" s="2" t="s">
        <v>1167</v>
      </c>
      <c r="F194" s="2"/>
      <c r="G194" s="4"/>
      <c r="H194" s="2" t="str">
        <f aca="false">IF(C194&gt;CRM_Dashboard!$B$3,"Future-dated",IF(AND(B194=B193,C194&lt;C193),"Date out of sequence",IF(AND(G194&lt;&gt;"",G194&lt;=C194),"Follow-up not after interaction","")))</f>
        <v/>
      </c>
    </row>
    <row r="195" customFormat="false" ht="15" hidden="false" customHeight="false" outlineLevel="0" collapsed="false">
      <c r="A195" s="2" t="s">
        <v>1374</v>
      </c>
      <c r="B195" s="2" t="s">
        <v>324</v>
      </c>
      <c r="C195" s="4" t="n">
        <v>46215</v>
      </c>
      <c r="D195" s="2" t="s">
        <v>1161</v>
      </c>
      <c r="E195" s="2" t="s">
        <v>1162</v>
      </c>
      <c r="F195" s="2"/>
      <c r="G195" s="4"/>
      <c r="H195" s="2" t="str">
        <f aca="false">IF(C195&gt;CRM_Dashboard!$B$3,"Future-dated",IF(AND(B195=B194,C195&lt;C194),"Date out of sequence",IF(AND(G195&lt;&gt;"",G195&lt;=C195),"Follow-up not after interaction","")))</f>
        <v/>
      </c>
    </row>
    <row r="196" customFormat="false" ht="15" hidden="false" customHeight="false" outlineLevel="0" collapsed="false">
      <c r="A196" s="2" t="s">
        <v>1375</v>
      </c>
      <c r="B196" s="2" t="s">
        <v>324</v>
      </c>
      <c r="C196" s="4" t="n">
        <v>46218</v>
      </c>
      <c r="D196" s="2" t="s">
        <v>1161</v>
      </c>
      <c r="E196" s="2" t="s">
        <v>1185</v>
      </c>
      <c r="F196" s="2"/>
      <c r="G196" s="4"/>
      <c r="H196" s="2" t="str">
        <f aca="false">IF(C196&gt;CRM_Dashboard!$B$3,"Future-dated",IF(AND(B196=B195,C196&lt;C195),"Date out of sequence",IF(AND(G196&lt;&gt;"",G196&lt;=C196),"Follow-up not after interaction","")))</f>
        <v/>
      </c>
    </row>
    <row r="197" customFormat="false" ht="15" hidden="false" customHeight="false" outlineLevel="0" collapsed="false">
      <c r="A197" s="2" t="s">
        <v>1376</v>
      </c>
      <c r="B197" s="2" t="s">
        <v>324</v>
      </c>
      <c r="C197" s="4" t="n">
        <v>46214</v>
      </c>
      <c r="D197" s="2" t="s">
        <v>1161</v>
      </c>
      <c r="E197" s="2" t="s">
        <v>1162</v>
      </c>
      <c r="F197" s="2" t="s">
        <v>1195</v>
      </c>
      <c r="G197" s="4"/>
      <c r="H197" s="2" t="str">
        <f aca="false">IF(C197&gt;CRM_Dashboard!$B$3,"Future-dated",IF(AND(B197=B196,C197&lt;C196),"Date out of sequence",IF(AND(G197&lt;&gt;"",G197&lt;=C197),"Follow-up not after interaction","")))</f>
        <v>Date out of sequence</v>
      </c>
    </row>
    <row r="198" customFormat="false" ht="15" hidden="false" customHeight="false" outlineLevel="0" collapsed="false">
      <c r="A198" s="2" t="s">
        <v>1377</v>
      </c>
      <c r="B198" s="2" t="s">
        <v>328</v>
      </c>
      <c r="C198" s="4" t="n">
        <v>46226</v>
      </c>
      <c r="D198" s="2" t="s">
        <v>1161</v>
      </c>
      <c r="E198" s="2" t="s">
        <v>1176</v>
      </c>
      <c r="F198" s="2" t="s">
        <v>1177</v>
      </c>
      <c r="G198" s="4" t="n">
        <v>46234</v>
      </c>
      <c r="H198" s="2" t="str">
        <f aca="false">IF(C198&gt;CRM_Dashboard!$B$3,"Future-dated",IF(AND(B198=B197,C198&lt;C197),"Date out of sequence",IF(AND(G198&lt;&gt;"",G198&lt;=C198),"Follow-up not after interaction","")))</f>
        <v/>
      </c>
    </row>
    <row r="199" customFormat="false" ht="15" hidden="false" customHeight="false" outlineLevel="0" collapsed="false">
      <c r="A199" s="2" t="s">
        <v>1378</v>
      </c>
      <c r="B199" s="2" t="s">
        <v>332</v>
      </c>
      <c r="C199" s="4" t="n">
        <v>46268</v>
      </c>
      <c r="D199" s="2" t="s">
        <v>1161</v>
      </c>
      <c r="E199" s="2" t="s">
        <v>1162</v>
      </c>
      <c r="F199" s="2" t="s">
        <v>1203</v>
      </c>
      <c r="G199" s="4"/>
      <c r="H199" s="2" t="str">
        <f aca="false">IF(C199&gt;CRM_Dashboard!$B$3,"Future-dated",IF(AND(B199=B198,C199&lt;C198),"Date out of sequence",IF(AND(G199&lt;&gt;"",G199&lt;=C199),"Follow-up not after interaction","")))</f>
        <v/>
      </c>
    </row>
    <row r="200" customFormat="false" ht="15" hidden="false" customHeight="false" outlineLevel="0" collapsed="false">
      <c r="A200" s="2" t="s">
        <v>1379</v>
      </c>
      <c r="B200" s="2" t="s">
        <v>336</v>
      </c>
      <c r="C200" s="4" t="n">
        <v>46277</v>
      </c>
      <c r="D200" s="2" t="s">
        <v>1161</v>
      </c>
      <c r="E200" s="2" t="s">
        <v>1185</v>
      </c>
      <c r="F200" s="2" t="s">
        <v>1177</v>
      </c>
      <c r="G200" s="4"/>
      <c r="H200" s="2" t="str">
        <f aca="false">IF(C200&gt;CRM_Dashboard!$B$3,"Future-dated",IF(AND(B200=B199,C200&lt;C199),"Date out of sequence",IF(AND(G200&lt;&gt;"",G200&lt;=C200),"Follow-up not after interaction","")))</f>
        <v/>
      </c>
    </row>
    <row r="201" customFormat="false" ht="15" hidden="false" customHeight="false" outlineLevel="0" collapsed="false">
      <c r="A201" s="2" t="s">
        <v>1380</v>
      </c>
      <c r="B201" s="2" t="s">
        <v>340</v>
      </c>
      <c r="C201" s="4" t="n">
        <v>46283</v>
      </c>
      <c r="D201" s="2" t="s">
        <v>1161</v>
      </c>
      <c r="E201" s="2" t="s">
        <v>1167</v>
      </c>
      <c r="F201" s="2"/>
      <c r="G201" s="4"/>
      <c r="H201" s="2" t="str">
        <f aca="false">IF(C201&gt;CRM_Dashboard!$B$3,"Future-dated",IF(AND(B201=B200,C201&lt;C200),"Date out of sequence",IF(AND(G201&lt;&gt;"",G201&lt;=C201),"Follow-up not after interaction","")))</f>
        <v/>
      </c>
    </row>
    <row r="202" customFormat="false" ht="15" hidden="false" customHeight="false" outlineLevel="0" collapsed="false">
      <c r="A202" s="2" t="s">
        <v>1381</v>
      </c>
      <c r="B202" s="2" t="s">
        <v>340</v>
      </c>
      <c r="C202" s="4" t="n">
        <v>46284</v>
      </c>
      <c r="D202" s="2" t="s">
        <v>1161</v>
      </c>
      <c r="E202" s="2" t="s">
        <v>1188</v>
      </c>
      <c r="F202" s="2"/>
      <c r="G202" s="4"/>
      <c r="H202" s="2" t="str">
        <f aca="false">IF(C202&gt;CRM_Dashboard!$B$3,"Future-dated",IF(AND(B202=B201,C202&lt;C201),"Date out of sequence",IF(AND(G202&lt;&gt;"",G202&lt;=C202),"Follow-up not after interaction","")))</f>
        <v/>
      </c>
    </row>
    <row r="203" customFormat="false" ht="15" hidden="false" customHeight="false" outlineLevel="0" collapsed="false">
      <c r="A203" s="2" t="s">
        <v>1382</v>
      </c>
      <c r="B203" s="2" t="s">
        <v>340</v>
      </c>
      <c r="C203" s="4" t="n">
        <v>46288</v>
      </c>
      <c r="D203" s="2" t="s">
        <v>1161</v>
      </c>
      <c r="E203" s="2" t="s">
        <v>1167</v>
      </c>
      <c r="F203" s="2" t="s">
        <v>1209</v>
      </c>
      <c r="G203" s="4" t="n">
        <v>46285</v>
      </c>
      <c r="H203" s="2" t="str">
        <f aca="false">IF(C203&gt;CRM_Dashboard!$B$3,"Future-dated",IF(AND(B203=B202,C203&lt;C202),"Date out of sequence",IF(AND(G203&lt;&gt;"",G203&lt;=C203),"Follow-up not after interaction","")))</f>
        <v>Follow-up not after interaction</v>
      </c>
    </row>
    <row r="204" customFormat="false" ht="15" hidden="false" customHeight="false" outlineLevel="0" collapsed="false">
      <c r="A204" s="2" t="s">
        <v>1383</v>
      </c>
      <c r="B204" s="2" t="s">
        <v>344</v>
      </c>
      <c r="C204" s="4" t="n">
        <v>46224</v>
      </c>
      <c r="D204" s="2" t="s">
        <v>1161</v>
      </c>
      <c r="E204" s="2" t="s">
        <v>1205</v>
      </c>
      <c r="F204" s="2" t="s">
        <v>1183</v>
      </c>
      <c r="G204" s="4"/>
      <c r="H204" s="2" t="str">
        <f aca="false">IF(C204&gt;CRM_Dashboard!$B$3,"Future-dated",IF(AND(B204=B203,C204&lt;C203),"Date out of sequence",IF(AND(G204&lt;&gt;"",G204&lt;=C204),"Follow-up not after interaction","")))</f>
        <v/>
      </c>
    </row>
    <row r="205" customFormat="false" ht="15" hidden="false" customHeight="false" outlineLevel="0" collapsed="false">
      <c r="A205" s="2" t="s">
        <v>1384</v>
      </c>
      <c r="B205" s="2" t="s">
        <v>348</v>
      </c>
      <c r="C205" s="4" t="n">
        <v>46238</v>
      </c>
      <c r="D205" s="2" t="s">
        <v>1161</v>
      </c>
      <c r="E205" s="2" t="s">
        <v>1162</v>
      </c>
      <c r="F205" s="2"/>
      <c r="G205" s="4"/>
      <c r="H205" s="2" t="str">
        <f aca="false">IF(C205&gt;CRM_Dashboard!$B$3,"Future-dated",IF(AND(B205=B204,C205&lt;C204),"Date out of sequence",IF(AND(G205&lt;&gt;"",G205&lt;=C205),"Follow-up not after interaction","")))</f>
        <v/>
      </c>
    </row>
    <row r="206" customFormat="false" ht="15" hidden="false" customHeight="false" outlineLevel="0" collapsed="false">
      <c r="A206" s="2" t="s">
        <v>1385</v>
      </c>
      <c r="B206" s="2" t="s">
        <v>348</v>
      </c>
      <c r="C206" s="4" t="n">
        <v>46244</v>
      </c>
      <c r="D206" s="2" t="s">
        <v>1161</v>
      </c>
      <c r="E206" s="2" t="s">
        <v>1252</v>
      </c>
      <c r="F206" s="2" t="s">
        <v>1174</v>
      </c>
      <c r="G206" s="4"/>
      <c r="H206" s="2" t="str">
        <f aca="false">IF(C206&gt;CRM_Dashboard!$B$3,"Future-dated",IF(AND(B206=B205,C206&lt;C205),"Date out of sequence",IF(AND(G206&lt;&gt;"",G206&lt;=C206),"Follow-up not after interaction","")))</f>
        <v/>
      </c>
    </row>
    <row r="207" customFormat="false" ht="15" hidden="false" customHeight="false" outlineLevel="0" collapsed="false">
      <c r="A207" s="2" t="s">
        <v>1386</v>
      </c>
      <c r="B207" s="2" t="s">
        <v>352</v>
      </c>
      <c r="C207" s="4" t="n">
        <v>46236</v>
      </c>
      <c r="D207" s="2" t="s">
        <v>1161</v>
      </c>
      <c r="E207" s="2" t="s">
        <v>1171</v>
      </c>
      <c r="F207" s="2"/>
      <c r="G207" s="4"/>
      <c r="H207" s="2" t="str">
        <f aca="false">IF(C207&gt;CRM_Dashboard!$B$3,"Future-dated",IF(AND(B207=B206,C207&lt;C206),"Date out of sequence",IF(AND(G207&lt;&gt;"",G207&lt;=C207),"Follow-up not after interaction","")))</f>
        <v/>
      </c>
    </row>
    <row r="208" customFormat="false" ht="15" hidden="false" customHeight="false" outlineLevel="0" collapsed="false">
      <c r="A208" s="2" t="s">
        <v>1387</v>
      </c>
      <c r="B208" s="2" t="s">
        <v>352</v>
      </c>
      <c r="C208" s="4" t="n">
        <v>46238</v>
      </c>
      <c r="D208" s="2" t="s">
        <v>1161</v>
      </c>
      <c r="E208" s="2" t="s">
        <v>1252</v>
      </c>
      <c r="F208" s="2"/>
      <c r="G208" s="4"/>
      <c r="H208" s="2" t="str">
        <f aca="false">IF(C208&gt;CRM_Dashboard!$B$3,"Future-dated",IF(AND(B208=B207,C208&lt;C207),"Date out of sequence",IF(AND(G208&lt;&gt;"",G208&lt;=C208),"Follow-up not after interaction","")))</f>
        <v/>
      </c>
    </row>
    <row r="209" customFormat="false" ht="15" hidden="false" customHeight="false" outlineLevel="0" collapsed="false">
      <c r="A209" s="2" t="s">
        <v>1388</v>
      </c>
      <c r="B209" s="2" t="s">
        <v>352</v>
      </c>
      <c r="C209" s="4" t="n">
        <v>46236</v>
      </c>
      <c r="D209" s="2" t="s">
        <v>1161</v>
      </c>
      <c r="E209" s="2" t="s">
        <v>1173</v>
      </c>
      <c r="F209" s="2"/>
      <c r="G209" s="4"/>
      <c r="H209" s="2" t="str">
        <f aca="false">IF(C209&gt;CRM_Dashboard!$B$3,"Future-dated",IF(AND(B209=B208,C209&lt;C208),"Date out of sequence",IF(AND(G209&lt;&gt;"",G209&lt;=C209),"Follow-up not after interaction","")))</f>
        <v>Date out of sequence</v>
      </c>
    </row>
    <row r="210" customFormat="false" ht="15" hidden="false" customHeight="false" outlineLevel="0" collapsed="false">
      <c r="A210" s="2" t="s">
        <v>1389</v>
      </c>
      <c r="B210" s="2" t="s">
        <v>352</v>
      </c>
      <c r="C210" s="4" t="n">
        <v>46239</v>
      </c>
      <c r="D210" s="2" t="s">
        <v>1161</v>
      </c>
      <c r="E210" s="2" t="s">
        <v>1185</v>
      </c>
      <c r="F210" s="2" t="s">
        <v>1195</v>
      </c>
      <c r="G210" s="4"/>
      <c r="H210" s="2" t="str">
        <f aca="false">IF(C210&gt;CRM_Dashboard!$B$3,"Future-dated",IF(AND(B210=B209,C210&lt;C209),"Date out of sequence",IF(AND(G210&lt;&gt;"",G210&lt;=C210),"Follow-up not after interaction","")))</f>
        <v/>
      </c>
    </row>
    <row r="211" customFormat="false" ht="15" hidden="false" customHeight="false" outlineLevel="0" collapsed="false">
      <c r="A211" s="2" t="s">
        <v>1390</v>
      </c>
      <c r="B211" s="2" t="s">
        <v>356</v>
      </c>
      <c r="C211" s="4" t="n">
        <v>46289</v>
      </c>
      <c r="D211" s="2" t="s">
        <v>1161</v>
      </c>
      <c r="E211" s="2" t="s">
        <v>1162</v>
      </c>
      <c r="F211" s="2"/>
      <c r="G211" s="4"/>
      <c r="H211" s="2" t="str">
        <f aca="false">IF(C211&gt;CRM_Dashboard!$B$3,"Future-dated",IF(AND(B211=B210,C211&lt;C210),"Date out of sequence",IF(AND(G211&lt;&gt;"",G211&lt;=C211),"Follow-up not after interaction","")))</f>
        <v/>
      </c>
    </row>
    <row r="212" customFormat="false" ht="15" hidden="false" customHeight="false" outlineLevel="0" collapsed="false">
      <c r="A212" s="2" t="s">
        <v>1391</v>
      </c>
      <c r="B212" s="2" t="s">
        <v>356</v>
      </c>
      <c r="C212" s="4" t="n">
        <v>46289</v>
      </c>
      <c r="D212" s="2" t="s">
        <v>1161</v>
      </c>
      <c r="E212" s="2" t="s">
        <v>1162</v>
      </c>
      <c r="F212" s="2"/>
      <c r="G212" s="4"/>
      <c r="H212" s="2" t="str">
        <f aca="false">IF(C212&gt;CRM_Dashboard!$B$3,"Future-dated",IF(AND(B212=B211,C212&lt;C211),"Date out of sequence",IF(AND(G212&lt;&gt;"",G212&lt;=C212),"Follow-up not after interaction","")))</f>
        <v/>
      </c>
    </row>
    <row r="213" customFormat="false" ht="15" hidden="false" customHeight="false" outlineLevel="0" collapsed="false">
      <c r="A213" s="2" t="s">
        <v>1392</v>
      </c>
      <c r="B213" s="2" t="s">
        <v>356</v>
      </c>
      <c r="C213" s="4" t="n">
        <v>46290</v>
      </c>
      <c r="D213" s="2" t="s">
        <v>1161</v>
      </c>
      <c r="E213" s="2" t="s">
        <v>1162</v>
      </c>
      <c r="F213" s="2" t="s">
        <v>1174</v>
      </c>
      <c r="G213" s="4"/>
      <c r="H213" s="2" t="str">
        <f aca="false">IF(C213&gt;CRM_Dashboard!$B$3,"Future-dated",IF(AND(B213=B212,C213&lt;C212),"Date out of sequence",IF(AND(G213&lt;&gt;"",G213&lt;=C213),"Follow-up not after interaction","")))</f>
        <v/>
      </c>
    </row>
    <row r="214" customFormat="false" ht="15" hidden="false" customHeight="false" outlineLevel="0" collapsed="false">
      <c r="A214" s="2" t="s">
        <v>1393</v>
      </c>
      <c r="B214" s="2" t="s">
        <v>360</v>
      </c>
      <c r="C214" s="4" t="n">
        <v>46242</v>
      </c>
      <c r="D214" s="2" t="s">
        <v>1161</v>
      </c>
      <c r="E214" s="2" t="s">
        <v>1162</v>
      </c>
      <c r="F214" s="2"/>
      <c r="G214" s="4"/>
      <c r="H214" s="2" t="str">
        <f aca="false">IF(C214&gt;CRM_Dashboard!$B$3,"Future-dated",IF(AND(B214=B213,C214&lt;C213),"Date out of sequence",IF(AND(G214&lt;&gt;"",G214&lt;=C214),"Follow-up not after interaction","")))</f>
        <v/>
      </c>
    </row>
    <row r="215" customFormat="false" ht="15" hidden="false" customHeight="false" outlineLevel="0" collapsed="false">
      <c r="A215" s="2" t="s">
        <v>1394</v>
      </c>
      <c r="B215" s="2" t="s">
        <v>360</v>
      </c>
      <c r="C215" s="4" t="n">
        <v>46248</v>
      </c>
      <c r="D215" s="2" t="s">
        <v>1161</v>
      </c>
      <c r="E215" s="2" t="s">
        <v>1162</v>
      </c>
      <c r="F215" s="2"/>
      <c r="G215" s="4"/>
      <c r="H215" s="2" t="str">
        <f aca="false">IF(C215&gt;CRM_Dashboard!$B$3,"Future-dated",IF(AND(B215=B214,C215&lt;C214),"Date out of sequence",IF(AND(G215&lt;&gt;"",G215&lt;=C215),"Follow-up not after interaction","")))</f>
        <v/>
      </c>
    </row>
    <row r="216" customFormat="false" ht="15" hidden="false" customHeight="false" outlineLevel="0" collapsed="false">
      <c r="A216" s="2" t="s">
        <v>1395</v>
      </c>
      <c r="B216" s="2" t="s">
        <v>360</v>
      </c>
      <c r="C216" s="4" t="n">
        <v>46247</v>
      </c>
      <c r="D216" s="2" t="s">
        <v>1161</v>
      </c>
      <c r="E216" s="2" t="s">
        <v>1162</v>
      </c>
      <c r="F216" s="2"/>
      <c r="G216" s="4"/>
      <c r="H216" s="2" t="str">
        <f aca="false">IF(C216&gt;CRM_Dashboard!$B$3,"Future-dated",IF(AND(B216=B215,C216&lt;C215),"Date out of sequence",IF(AND(G216&lt;&gt;"",G216&lt;=C216),"Follow-up not after interaction","")))</f>
        <v>Date out of sequence</v>
      </c>
    </row>
    <row r="217" customFormat="false" ht="15" hidden="false" customHeight="false" outlineLevel="0" collapsed="false">
      <c r="A217" s="2" t="s">
        <v>1396</v>
      </c>
      <c r="B217" s="2" t="s">
        <v>360</v>
      </c>
      <c r="C217" s="4" t="n">
        <v>46250</v>
      </c>
      <c r="D217" s="2" t="s">
        <v>1235</v>
      </c>
      <c r="E217" s="2" t="s">
        <v>1236</v>
      </c>
      <c r="F217" s="2" t="s">
        <v>1203</v>
      </c>
      <c r="G217" s="4" t="n">
        <v>46246</v>
      </c>
      <c r="H217" s="2" t="str">
        <f aca="false">IF(C217&gt;CRM_Dashboard!$B$3,"Future-dated",IF(AND(B217=B216,C217&lt;C216),"Date out of sequence",IF(AND(G217&lt;&gt;"",G217&lt;=C217),"Follow-up not after interaction","")))</f>
        <v>Follow-up not after interaction</v>
      </c>
    </row>
    <row r="218" customFormat="false" ht="15" hidden="false" customHeight="false" outlineLevel="0" collapsed="false">
      <c r="A218" s="2" t="s">
        <v>1397</v>
      </c>
      <c r="B218" s="2" t="s">
        <v>364</v>
      </c>
      <c r="C218" s="4" t="n">
        <v>46224</v>
      </c>
      <c r="D218" s="2" t="s">
        <v>1161</v>
      </c>
      <c r="E218" s="2" t="s">
        <v>1167</v>
      </c>
      <c r="F218" s="2"/>
      <c r="G218" s="4"/>
      <c r="H218" s="2" t="str">
        <f aca="false">IF(C218&gt;CRM_Dashboard!$B$3,"Future-dated",IF(AND(B218=B217,C218&lt;C217),"Date out of sequence",IF(AND(G218&lt;&gt;"",G218&lt;=C218),"Follow-up not after interaction","")))</f>
        <v/>
      </c>
    </row>
    <row r="219" customFormat="false" ht="15" hidden="false" customHeight="false" outlineLevel="0" collapsed="false">
      <c r="A219" s="2" t="s">
        <v>1398</v>
      </c>
      <c r="B219" s="2" t="s">
        <v>364</v>
      </c>
      <c r="C219" s="4" t="n">
        <v>46224</v>
      </c>
      <c r="D219" s="2" t="s">
        <v>1161</v>
      </c>
      <c r="E219" s="2" t="s">
        <v>1252</v>
      </c>
      <c r="F219" s="2"/>
      <c r="G219" s="4"/>
      <c r="H219" s="2" t="str">
        <f aca="false">IF(C219&gt;CRM_Dashboard!$B$3,"Future-dated",IF(AND(B219=B218,C219&lt;C218),"Date out of sequence",IF(AND(G219&lt;&gt;"",G219&lt;=C219),"Follow-up not after interaction","")))</f>
        <v/>
      </c>
    </row>
    <row r="220" customFormat="false" ht="15" hidden="false" customHeight="false" outlineLevel="0" collapsed="false">
      <c r="A220" s="2" t="s">
        <v>1399</v>
      </c>
      <c r="B220" s="2" t="s">
        <v>364</v>
      </c>
      <c r="C220" s="4" t="n">
        <v>46231</v>
      </c>
      <c r="D220" s="2" t="s">
        <v>1161</v>
      </c>
      <c r="E220" s="2" t="s">
        <v>1167</v>
      </c>
      <c r="F220" s="2"/>
      <c r="G220" s="4"/>
      <c r="H220" s="2" t="str">
        <f aca="false">IF(C220&gt;CRM_Dashboard!$B$3,"Future-dated",IF(AND(B220=B219,C220&lt;C219),"Date out of sequence",IF(AND(G220&lt;&gt;"",G220&lt;=C220),"Follow-up not after interaction","")))</f>
        <v/>
      </c>
    </row>
    <row r="221" customFormat="false" ht="15" hidden="false" customHeight="false" outlineLevel="0" collapsed="false">
      <c r="A221" s="2" t="s">
        <v>1400</v>
      </c>
      <c r="B221" s="2" t="s">
        <v>364</v>
      </c>
      <c r="C221" s="4" t="n">
        <v>46224</v>
      </c>
      <c r="D221" s="2" t="s">
        <v>1161</v>
      </c>
      <c r="E221" s="2" t="s">
        <v>1185</v>
      </c>
      <c r="F221" s="2" t="s">
        <v>1183</v>
      </c>
      <c r="G221" s="4"/>
      <c r="H221" s="2" t="str">
        <f aca="false">IF(C221&gt;CRM_Dashboard!$B$3,"Future-dated",IF(AND(B221=B220,C221&lt;C220),"Date out of sequence",IF(AND(G221&lt;&gt;"",G221&lt;=C221),"Follow-up not after interaction","")))</f>
        <v>Date out of sequence</v>
      </c>
    </row>
    <row r="222" customFormat="false" ht="15" hidden="false" customHeight="false" outlineLevel="0" collapsed="false">
      <c r="A222" s="2" t="s">
        <v>1401</v>
      </c>
      <c r="B222" s="2" t="s">
        <v>368</v>
      </c>
      <c r="C222" s="4" t="n">
        <v>46255</v>
      </c>
      <c r="D222" s="2" t="s">
        <v>1161</v>
      </c>
      <c r="E222" s="2" t="s">
        <v>1162</v>
      </c>
      <c r="F222" s="2"/>
      <c r="G222" s="4"/>
      <c r="H222" s="2" t="str">
        <f aca="false">IF(C222&gt;CRM_Dashboard!$B$3,"Future-dated",IF(AND(B222=B221,C222&lt;C221),"Date out of sequence",IF(AND(G222&lt;&gt;"",G222&lt;=C222),"Follow-up not after interaction","")))</f>
        <v/>
      </c>
    </row>
    <row r="223" customFormat="false" ht="15" hidden="false" customHeight="false" outlineLevel="0" collapsed="false">
      <c r="A223" s="2" t="s">
        <v>1402</v>
      </c>
      <c r="B223" s="2" t="s">
        <v>368</v>
      </c>
      <c r="C223" s="4" t="n">
        <v>46252</v>
      </c>
      <c r="D223" s="2" t="s">
        <v>1161</v>
      </c>
      <c r="E223" s="2" t="s">
        <v>1162</v>
      </c>
      <c r="F223" s="2"/>
      <c r="G223" s="4"/>
      <c r="H223" s="2" t="str">
        <f aca="false">IF(C223&gt;CRM_Dashboard!$B$3,"Future-dated",IF(AND(B223=B222,C223&lt;C222),"Date out of sequence",IF(AND(G223&lt;&gt;"",G223&lt;=C223),"Follow-up not after interaction","")))</f>
        <v>Date out of sequence</v>
      </c>
    </row>
    <row r="224" customFormat="false" ht="15" hidden="false" customHeight="false" outlineLevel="0" collapsed="false">
      <c r="A224" s="2" t="s">
        <v>1403</v>
      </c>
      <c r="B224" s="2" t="s">
        <v>368</v>
      </c>
      <c r="C224" s="4" t="n">
        <v>46257</v>
      </c>
      <c r="D224" s="2" t="s">
        <v>1161</v>
      </c>
      <c r="E224" s="2" t="s">
        <v>1171</v>
      </c>
      <c r="F224" s="2" t="s">
        <v>1209</v>
      </c>
      <c r="G224" s="4"/>
      <c r="H224" s="2" t="str">
        <f aca="false">IF(C224&gt;CRM_Dashboard!$B$3,"Future-dated",IF(AND(B224=B223,C224&lt;C223),"Date out of sequence",IF(AND(G224&lt;&gt;"",G224&lt;=C224),"Follow-up not after interaction","")))</f>
        <v/>
      </c>
    </row>
    <row r="225" customFormat="false" ht="15" hidden="false" customHeight="false" outlineLevel="0" collapsed="false">
      <c r="A225" s="2" t="s">
        <v>1404</v>
      </c>
      <c r="B225" s="2" t="s">
        <v>372</v>
      </c>
      <c r="C225" s="4" t="n">
        <v>46250</v>
      </c>
      <c r="D225" s="2" t="s">
        <v>1235</v>
      </c>
      <c r="E225" s="2" t="s">
        <v>1236</v>
      </c>
      <c r="F225" s="2"/>
      <c r="G225" s="4"/>
      <c r="H225" s="2" t="str">
        <f aca="false">IF(C225&gt;CRM_Dashboard!$B$3,"Future-dated",IF(AND(B225=B224,C225&lt;C224),"Date out of sequence",IF(AND(G225&lt;&gt;"",G225&lt;=C225),"Follow-up not after interaction","")))</f>
        <v/>
      </c>
    </row>
    <row r="226" customFormat="false" ht="15" hidden="false" customHeight="false" outlineLevel="0" collapsed="false">
      <c r="A226" s="2" t="s">
        <v>1405</v>
      </c>
      <c r="B226" s="2" t="s">
        <v>372</v>
      </c>
      <c r="C226" s="4" t="n">
        <v>46250</v>
      </c>
      <c r="D226" s="2" t="s">
        <v>1161</v>
      </c>
      <c r="E226" s="2" t="s">
        <v>1252</v>
      </c>
      <c r="F226" s="2" t="s">
        <v>1183</v>
      </c>
      <c r="G226" s="4"/>
      <c r="H226" s="2" t="str">
        <f aca="false">IF(C226&gt;CRM_Dashboard!$B$3,"Future-dated",IF(AND(B226=B225,C226&lt;C225),"Date out of sequence",IF(AND(G226&lt;&gt;"",G226&lt;=C226),"Follow-up not after interaction","")))</f>
        <v/>
      </c>
    </row>
    <row r="227" customFormat="false" ht="15" hidden="false" customHeight="false" outlineLevel="0" collapsed="false">
      <c r="A227" s="2" t="s">
        <v>1406</v>
      </c>
      <c r="B227" s="2" t="s">
        <v>376</v>
      </c>
      <c r="C227" s="4" t="n">
        <v>46283</v>
      </c>
      <c r="D227" s="2" t="s">
        <v>1161</v>
      </c>
      <c r="E227" s="2" t="s">
        <v>1162</v>
      </c>
      <c r="F227" s="2" t="s">
        <v>1209</v>
      </c>
      <c r="G227" s="4"/>
      <c r="H227" s="2" t="str">
        <f aca="false">IF(C227&gt;CRM_Dashboard!$B$3,"Future-dated",IF(AND(B227=B226,C227&lt;C226),"Date out of sequence",IF(AND(G227&lt;&gt;"",G227&lt;=C227),"Follow-up not after interaction","")))</f>
        <v/>
      </c>
    </row>
    <row r="228" customFormat="false" ht="15" hidden="false" customHeight="false" outlineLevel="0" collapsed="false">
      <c r="A228" s="2" t="s">
        <v>1407</v>
      </c>
      <c r="B228" s="2" t="s">
        <v>380</v>
      </c>
      <c r="C228" s="4" t="n">
        <v>46249</v>
      </c>
      <c r="D228" s="2" t="s">
        <v>1161</v>
      </c>
      <c r="E228" s="2" t="s">
        <v>1167</v>
      </c>
      <c r="F228" s="2"/>
      <c r="G228" s="4"/>
      <c r="H228" s="2" t="str">
        <f aca="false">IF(C228&gt;CRM_Dashboard!$B$3,"Future-dated",IF(AND(B228=B227,C228&lt;C227),"Date out of sequence",IF(AND(G228&lt;&gt;"",G228&lt;=C228),"Follow-up not after interaction","")))</f>
        <v/>
      </c>
    </row>
    <row r="229" customFormat="false" ht="15" hidden="false" customHeight="false" outlineLevel="0" collapsed="false">
      <c r="A229" s="2" t="s">
        <v>1408</v>
      </c>
      <c r="B229" s="2" t="s">
        <v>380</v>
      </c>
      <c r="C229" s="4" t="n">
        <v>46251</v>
      </c>
      <c r="D229" s="2" t="s">
        <v>1161</v>
      </c>
      <c r="E229" s="2" t="s">
        <v>1162</v>
      </c>
      <c r="F229" s="2" t="s">
        <v>1174</v>
      </c>
      <c r="G229" s="4"/>
      <c r="H229" s="2" t="str">
        <f aca="false">IF(C229&gt;CRM_Dashboard!$B$3,"Future-dated",IF(AND(B229=B228,C229&lt;C228),"Date out of sequence",IF(AND(G229&lt;&gt;"",G229&lt;=C229),"Follow-up not after interaction","")))</f>
        <v/>
      </c>
    </row>
    <row r="230" customFormat="false" ht="15" hidden="false" customHeight="false" outlineLevel="0" collapsed="false">
      <c r="A230" s="2" t="s">
        <v>1409</v>
      </c>
      <c r="B230" s="2" t="s">
        <v>384</v>
      </c>
      <c r="C230" s="4" t="n">
        <v>46251</v>
      </c>
      <c r="D230" s="2" t="s">
        <v>1161</v>
      </c>
      <c r="E230" s="2" t="s">
        <v>1176</v>
      </c>
      <c r="F230" s="2" t="s">
        <v>1209</v>
      </c>
      <c r="G230" s="4" t="n">
        <v>46260</v>
      </c>
      <c r="H230" s="2" t="str">
        <f aca="false">IF(C230&gt;CRM_Dashboard!$B$3,"Future-dated",IF(AND(B230=B229,C230&lt;C229),"Date out of sequence",IF(AND(G230&lt;&gt;"",G230&lt;=C230),"Follow-up not after interaction","")))</f>
        <v/>
      </c>
    </row>
    <row r="231" customFormat="false" ht="15" hidden="false" customHeight="false" outlineLevel="0" collapsed="false">
      <c r="A231" s="2" t="s">
        <v>1410</v>
      </c>
      <c r="B231" s="2" t="s">
        <v>388</v>
      </c>
      <c r="C231" s="4" t="n">
        <v>46256</v>
      </c>
      <c r="D231" s="2" t="s">
        <v>1161</v>
      </c>
      <c r="E231" s="2" t="s">
        <v>1188</v>
      </c>
      <c r="F231" s="2"/>
      <c r="G231" s="4"/>
      <c r="H231" s="2" t="str">
        <f aca="false">IF(C231&gt;CRM_Dashboard!$B$3,"Future-dated",IF(AND(B231=B230,C231&lt;C230),"Date out of sequence",IF(AND(G231&lt;&gt;"",G231&lt;=C231),"Follow-up not after interaction","")))</f>
        <v/>
      </c>
    </row>
    <row r="232" customFormat="false" ht="15" hidden="false" customHeight="false" outlineLevel="0" collapsed="false">
      <c r="A232" s="2" t="s">
        <v>1411</v>
      </c>
      <c r="B232" s="2" t="s">
        <v>388</v>
      </c>
      <c r="C232" s="4" t="n">
        <v>46260</v>
      </c>
      <c r="D232" s="2" t="s">
        <v>1161</v>
      </c>
      <c r="E232" s="2" t="s">
        <v>1176</v>
      </c>
      <c r="F232" s="2"/>
      <c r="G232" s="4"/>
      <c r="H232" s="2" t="str">
        <f aca="false">IF(C232&gt;CRM_Dashboard!$B$3,"Future-dated",IF(AND(B232=B231,C232&lt;C231),"Date out of sequence",IF(AND(G232&lt;&gt;"",G232&lt;=C232),"Follow-up not after interaction","")))</f>
        <v/>
      </c>
    </row>
    <row r="233" customFormat="false" ht="15" hidden="false" customHeight="false" outlineLevel="0" collapsed="false">
      <c r="A233" s="2" t="s">
        <v>1412</v>
      </c>
      <c r="B233" s="2" t="s">
        <v>388</v>
      </c>
      <c r="C233" s="4" t="n">
        <v>46260</v>
      </c>
      <c r="D233" s="2" t="s">
        <v>1161</v>
      </c>
      <c r="E233" s="2" t="s">
        <v>1205</v>
      </c>
      <c r="F233" s="2"/>
      <c r="G233" s="4"/>
      <c r="H233" s="2" t="str">
        <f aca="false">IF(C233&gt;CRM_Dashboard!$B$3,"Future-dated",IF(AND(B233=B232,C233&lt;C232),"Date out of sequence",IF(AND(G233&lt;&gt;"",G233&lt;=C233),"Follow-up not after interaction","")))</f>
        <v/>
      </c>
    </row>
    <row r="234" customFormat="false" ht="15" hidden="false" customHeight="false" outlineLevel="0" collapsed="false">
      <c r="A234" s="2" t="s">
        <v>1413</v>
      </c>
      <c r="B234" s="2" t="s">
        <v>388</v>
      </c>
      <c r="C234" s="4" t="n">
        <v>46260</v>
      </c>
      <c r="D234" s="2" t="s">
        <v>1161</v>
      </c>
      <c r="E234" s="2" t="s">
        <v>1162</v>
      </c>
      <c r="F234" s="2" t="s">
        <v>1183</v>
      </c>
      <c r="G234" s="4"/>
      <c r="H234" s="2" t="str">
        <f aca="false">IF(C234&gt;CRM_Dashboard!$B$3,"Future-dated",IF(AND(B234=B233,C234&lt;C233),"Date out of sequence",IF(AND(G234&lt;&gt;"",G234&lt;=C234),"Follow-up not after interaction","")))</f>
        <v/>
      </c>
    </row>
    <row r="235" customFormat="false" ht="15" hidden="false" customHeight="false" outlineLevel="0" collapsed="false">
      <c r="A235" s="2" t="s">
        <v>1414</v>
      </c>
      <c r="B235" s="2" t="s">
        <v>392</v>
      </c>
      <c r="C235" s="4" t="n">
        <v>46273</v>
      </c>
      <c r="D235" s="2" t="s">
        <v>1161</v>
      </c>
      <c r="E235" s="2" t="s">
        <v>1176</v>
      </c>
      <c r="F235" s="2"/>
      <c r="G235" s="4"/>
      <c r="H235" s="2" t="str">
        <f aca="false">IF(C235&gt;CRM_Dashboard!$B$3,"Future-dated",IF(AND(B235=B234,C235&lt;C234),"Date out of sequence",IF(AND(G235&lt;&gt;"",G235&lt;=C235),"Follow-up not after interaction","")))</f>
        <v/>
      </c>
    </row>
    <row r="236" customFormat="false" ht="15" hidden="false" customHeight="false" outlineLevel="0" collapsed="false">
      <c r="A236" s="2" t="s">
        <v>1415</v>
      </c>
      <c r="B236" s="2" t="s">
        <v>392</v>
      </c>
      <c r="C236" s="4" t="n">
        <v>46273</v>
      </c>
      <c r="D236" s="2" t="s">
        <v>1161</v>
      </c>
      <c r="E236" s="2" t="s">
        <v>1167</v>
      </c>
      <c r="F236" s="2"/>
      <c r="G236" s="4"/>
      <c r="H236" s="2" t="str">
        <f aca="false">IF(C236&gt;CRM_Dashboard!$B$3,"Future-dated",IF(AND(B236=B235,C236&lt;C235),"Date out of sequence",IF(AND(G236&lt;&gt;"",G236&lt;=C236),"Follow-up not after interaction","")))</f>
        <v/>
      </c>
    </row>
    <row r="237" customFormat="false" ht="15" hidden="false" customHeight="false" outlineLevel="0" collapsed="false">
      <c r="A237" s="2" t="s">
        <v>1416</v>
      </c>
      <c r="B237" s="2" t="s">
        <v>392</v>
      </c>
      <c r="C237" s="4" t="n">
        <v>46274</v>
      </c>
      <c r="D237" s="2" t="s">
        <v>1161</v>
      </c>
      <c r="E237" s="2" t="s">
        <v>1162</v>
      </c>
      <c r="F237" s="2" t="s">
        <v>1177</v>
      </c>
      <c r="G237" s="4"/>
      <c r="H237" s="2" t="str">
        <f aca="false">IF(C237&gt;CRM_Dashboard!$B$3,"Future-dated",IF(AND(B237=B236,C237&lt;C236),"Date out of sequence",IF(AND(G237&lt;&gt;"",G237&lt;=C237),"Follow-up not after interaction","")))</f>
        <v/>
      </c>
    </row>
    <row r="238" customFormat="false" ht="15" hidden="false" customHeight="false" outlineLevel="0" collapsed="false">
      <c r="A238" s="2" t="s">
        <v>1417</v>
      </c>
      <c r="B238" s="2" t="s">
        <v>396</v>
      </c>
      <c r="C238" s="4" t="n">
        <v>46266</v>
      </c>
      <c r="D238" s="2" t="s">
        <v>1161</v>
      </c>
      <c r="E238" s="2" t="s">
        <v>1176</v>
      </c>
      <c r="F238" s="2"/>
      <c r="G238" s="4"/>
      <c r="H238" s="2" t="str">
        <f aca="false">IF(C238&gt;CRM_Dashboard!$B$3,"Future-dated",IF(AND(B238=B237,C238&lt;C237),"Date out of sequence",IF(AND(G238&lt;&gt;"",G238&lt;=C238),"Follow-up not after interaction","")))</f>
        <v/>
      </c>
    </row>
    <row r="239" customFormat="false" ht="15" hidden="false" customHeight="false" outlineLevel="0" collapsed="false">
      <c r="A239" s="2" t="s">
        <v>1418</v>
      </c>
      <c r="B239" s="2" t="s">
        <v>396</v>
      </c>
      <c r="C239" s="4" t="n">
        <v>46266</v>
      </c>
      <c r="D239" s="2" t="s">
        <v>1161</v>
      </c>
      <c r="E239" s="2" t="s">
        <v>1162</v>
      </c>
      <c r="F239" s="2"/>
      <c r="G239" s="4"/>
      <c r="H239" s="2" t="str">
        <f aca="false">IF(C239&gt;CRM_Dashboard!$B$3,"Future-dated",IF(AND(B239=B238,C239&lt;C238),"Date out of sequence",IF(AND(G239&lt;&gt;"",G239&lt;=C239),"Follow-up not after interaction","")))</f>
        <v/>
      </c>
    </row>
    <row r="240" customFormat="false" ht="15" hidden="false" customHeight="false" outlineLevel="0" collapsed="false">
      <c r="A240" s="2" t="s">
        <v>1419</v>
      </c>
      <c r="B240" s="2" t="s">
        <v>396</v>
      </c>
      <c r="C240" s="4" t="n">
        <v>46269</v>
      </c>
      <c r="D240" s="2" t="s">
        <v>1161</v>
      </c>
      <c r="E240" s="2" t="s">
        <v>1176</v>
      </c>
      <c r="F240" s="2"/>
      <c r="G240" s="4"/>
      <c r="H240" s="2" t="str">
        <f aca="false">IF(C240&gt;CRM_Dashboard!$B$3,"Future-dated",IF(AND(B240=B239,C240&lt;C239),"Date out of sequence",IF(AND(G240&lt;&gt;"",G240&lt;=C240),"Follow-up not after interaction","")))</f>
        <v/>
      </c>
    </row>
    <row r="241" customFormat="false" ht="15" hidden="false" customHeight="false" outlineLevel="0" collapsed="false">
      <c r="A241" s="2" t="s">
        <v>1420</v>
      </c>
      <c r="B241" s="2" t="s">
        <v>396</v>
      </c>
      <c r="C241" s="4" t="n">
        <v>46270</v>
      </c>
      <c r="D241" s="2" t="s">
        <v>1161</v>
      </c>
      <c r="E241" s="2" t="s">
        <v>1167</v>
      </c>
      <c r="F241" s="2" t="s">
        <v>1165</v>
      </c>
      <c r="G241" s="4" t="n">
        <v>46265</v>
      </c>
      <c r="H241" s="2" t="str">
        <f aca="false">IF(C241&gt;CRM_Dashboard!$B$3,"Future-dated",IF(AND(B241=B240,C241&lt;C240),"Date out of sequence",IF(AND(G241&lt;&gt;"",G241&lt;=C241),"Follow-up not after interaction","")))</f>
        <v>Follow-up not after interaction</v>
      </c>
    </row>
    <row r="242" customFormat="false" ht="15" hidden="false" customHeight="false" outlineLevel="0" collapsed="false">
      <c r="A242" s="2" t="s">
        <v>1421</v>
      </c>
      <c r="B242" s="2" t="s">
        <v>400</v>
      </c>
      <c r="C242" s="4" t="n">
        <v>46251</v>
      </c>
      <c r="D242" s="2" t="s">
        <v>1161</v>
      </c>
      <c r="E242" s="2" t="s">
        <v>1176</v>
      </c>
      <c r="F242" s="2"/>
      <c r="G242" s="4"/>
      <c r="H242" s="2" t="str">
        <f aca="false">IF(C242&gt;CRM_Dashboard!$B$3,"Future-dated",IF(AND(B242=B241,C242&lt;C241),"Date out of sequence",IF(AND(G242&lt;&gt;"",G242&lt;=C242),"Follow-up not after interaction","")))</f>
        <v/>
      </c>
    </row>
    <row r="243" customFormat="false" ht="15" hidden="false" customHeight="false" outlineLevel="0" collapsed="false">
      <c r="A243" s="2" t="s">
        <v>1422</v>
      </c>
      <c r="B243" s="2" t="s">
        <v>400</v>
      </c>
      <c r="C243" s="4" t="n">
        <v>46251</v>
      </c>
      <c r="D243" s="2" t="s">
        <v>1161</v>
      </c>
      <c r="E243" s="2" t="s">
        <v>1167</v>
      </c>
      <c r="F243" s="2" t="s">
        <v>1203</v>
      </c>
      <c r="G243" s="4" t="n">
        <v>46257</v>
      </c>
      <c r="H243" s="2" t="str">
        <f aca="false">IF(C243&gt;CRM_Dashboard!$B$3,"Future-dated",IF(AND(B243=B242,C243&lt;C242),"Date out of sequence",IF(AND(G243&lt;&gt;"",G243&lt;=C243),"Follow-up not after interaction","")))</f>
        <v/>
      </c>
    </row>
    <row r="244" customFormat="false" ht="15" hidden="false" customHeight="false" outlineLevel="0" collapsed="false">
      <c r="A244" s="2" t="s">
        <v>1423</v>
      </c>
      <c r="B244" s="2" t="s">
        <v>404</v>
      </c>
      <c r="C244" s="4" t="n">
        <v>46212</v>
      </c>
      <c r="D244" s="2" t="s">
        <v>1161</v>
      </c>
      <c r="E244" s="2" t="s">
        <v>1167</v>
      </c>
      <c r="F244" s="2"/>
      <c r="G244" s="4"/>
      <c r="H244" s="2" t="str">
        <f aca="false">IF(C244&gt;CRM_Dashboard!$B$3,"Future-dated",IF(AND(B244=B243,C244&lt;C243),"Date out of sequence",IF(AND(G244&lt;&gt;"",G244&lt;=C244),"Follow-up not after interaction","")))</f>
        <v/>
      </c>
    </row>
    <row r="245" customFormat="false" ht="15" hidden="false" customHeight="false" outlineLevel="0" collapsed="false">
      <c r="A245" s="2" t="s">
        <v>1424</v>
      </c>
      <c r="B245" s="2" t="s">
        <v>404</v>
      </c>
      <c r="C245" s="4" t="n">
        <v>46213</v>
      </c>
      <c r="D245" s="2" t="s">
        <v>1161</v>
      </c>
      <c r="E245" s="2" t="s">
        <v>1173</v>
      </c>
      <c r="F245" s="2"/>
      <c r="G245" s="4"/>
      <c r="H245" s="2" t="str">
        <f aca="false">IF(C245&gt;CRM_Dashboard!$B$3,"Future-dated",IF(AND(B245=B244,C245&lt;C244),"Date out of sequence",IF(AND(G245&lt;&gt;"",G245&lt;=C245),"Follow-up not after interaction","")))</f>
        <v/>
      </c>
    </row>
    <row r="246" customFormat="false" ht="15" hidden="false" customHeight="false" outlineLevel="0" collapsed="false">
      <c r="A246" s="2" t="s">
        <v>1425</v>
      </c>
      <c r="B246" s="2" t="s">
        <v>404</v>
      </c>
      <c r="C246" s="4" t="n">
        <v>46213</v>
      </c>
      <c r="D246" s="2" t="s">
        <v>1161</v>
      </c>
      <c r="E246" s="2" t="s">
        <v>1167</v>
      </c>
      <c r="F246" s="2" t="s">
        <v>1177</v>
      </c>
      <c r="G246" s="4" t="n">
        <v>46218</v>
      </c>
      <c r="H246" s="2" t="str">
        <f aca="false">IF(C246&gt;CRM_Dashboard!$B$3,"Future-dated",IF(AND(B246=B245,C246&lt;C245),"Date out of sequence",IF(AND(G246&lt;&gt;"",G246&lt;=C246),"Follow-up not after interaction","")))</f>
        <v/>
      </c>
    </row>
    <row r="247" customFormat="false" ht="15" hidden="false" customHeight="false" outlineLevel="0" collapsed="false">
      <c r="A247" s="2" t="s">
        <v>1426</v>
      </c>
      <c r="B247" s="2" t="s">
        <v>408</v>
      </c>
      <c r="C247" s="4" t="n">
        <v>46279</v>
      </c>
      <c r="D247" s="2" t="s">
        <v>1161</v>
      </c>
      <c r="E247" s="2" t="s">
        <v>1167</v>
      </c>
      <c r="F247" s="2" t="s">
        <v>1209</v>
      </c>
      <c r="G247" s="4" t="n">
        <v>46280</v>
      </c>
      <c r="H247" s="2" t="str">
        <f aca="false">IF(C247&gt;CRM_Dashboard!$B$3,"Future-dated",IF(AND(B247=B246,C247&lt;C246),"Date out of sequence",IF(AND(G247&lt;&gt;"",G247&lt;=C247),"Follow-up not after interaction","")))</f>
        <v/>
      </c>
    </row>
    <row r="248" customFormat="false" ht="15" hidden="false" customHeight="false" outlineLevel="0" collapsed="false">
      <c r="A248" s="2" t="s">
        <v>1427</v>
      </c>
      <c r="B248" s="2" t="s">
        <v>412</v>
      </c>
      <c r="C248" s="4" t="n">
        <v>46226</v>
      </c>
      <c r="D248" s="2" t="s">
        <v>1161</v>
      </c>
      <c r="E248" s="2" t="s">
        <v>1162</v>
      </c>
      <c r="F248" s="2"/>
      <c r="G248" s="4"/>
      <c r="H248" s="2" t="str">
        <f aca="false">IF(C248&gt;CRM_Dashboard!$B$3,"Future-dated",IF(AND(B248=B247,C248&lt;C247),"Date out of sequence",IF(AND(G248&lt;&gt;"",G248&lt;=C248),"Follow-up not after interaction","")))</f>
        <v/>
      </c>
    </row>
    <row r="249" customFormat="false" ht="15" hidden="false" customHeight="false" outlineLevel="0" collapsed="false">
      <c r="A249" s="2" t="s">
        <v>1428</v>
      </c>
      <c r="B249" s="2" t="s">
        <v>412</v>
      </c>
      <c r="C249" s="4" t="n">
        <v>46223</v>
      </c>
      <c r="D249" s="2" t="s">
        <v>1161</v>
      </c>
      <c r="E249" s="2" t="s">
        <v>1188</v>
      </c>
      <c r="F249" s="2"/>
      <c r="G249" s="4"/>
      <c r="H249" s="2" t="str">
        <f aca="false">IF(C249&gt;CRM_Dashboard!$B$3,"Future-dated",IF(AND(B249=B248,C249&lt;C248),"Date out of sequence",IF(AND(G249&lt;&gt;"",G249&lt;=C249),"Follow-up not after interaction","")))</f>
        <v>Date out of sequence</v>
      </c>
    </row>
    <row r="250" customFormat="false" ht="15" hidden="false" customHeight="false" outlineLevel="0" collapsed="false">
      <c r="A250" s="2" t="s">
        <v>1429</v>
      </c>
      <c r="B250" s="2" t="s">
        <v>412</v>
      </c>
      <c r="C250" s="4" t="n">
        <v>46222</v>
      </c>
      <c r="D250" s="2" t="s">
        <v>1161</v>
      </c>
      <c r="E250" s="2" t="s">
        <v>1171</v>
      </c>
      <c r="F250" s="2"/>
      <c r="G250" s="4"/>
      <c r="H250" s="2" t="str">
        <f aca="false">IF(C250&gt;CRM_Dashboard!$B$3,"Future-dated",IF(AND(B250=B249,C250&lt;C249),"Date out of sequence",IF(AND(G250&lt;&gt;"",G250&lt;=C250),"Follow-up not after interaction","")))</f>
        <v>Date out of sequence</v>
      </c>
    </row>
    <row r="251" customFormat="false" ht="15" hidden="false" customHeight="false" outlineLevel="0" collapsed="false">
      <c r="A251" s="2" t="s">
        <v>1430</v>
      </c>
      <c r="B251" s="2" t="s">
        <v>412</v>
      </c>
      <c r="C251" s="4" t="n">
        <v>46232</v>
      </c>
      <c r="D251" s="2" t="s">
        <v>1161</v>
      </c>
      <c r="E251" s="2" t="s">
        <v>1162</v>
      </c>
      <c r="F251" s="2" t="s">
        <v>1195</v>
      </c>
      <c r="G251" s="4"/>
      <c r="H251" s="2" t="str">
        <f aca="false">IF(C251&gt;CRM_Dashboard!$B$3,"Future-dated",IF(AND(B251=B250,C251&lt;C250),"Date out of sequence",IF(AND(G251&lt;&gt;"",G251&lt;=C251),"Follow-up not after interaction","")))</f>
        <v/>
      </c>
    </row>
    <row r="252" customFormat="false" ht="15" hidden="false" customHeight="false" outlineLevel="0" collapsed="false">
      <c r="A252" s="2" t="s">
        <v>1431</v>
      </c>
      <c r="B252" s="2" t="s">
        <v>416</v>
      </c>
      <c r="C252" s="4" t="n">
        <v>46278</v>
      </c>
      <c r="D252" s="2" t="s">
        <v>1161</v>
      </c>
      <c r="E252" s="2" t="s">
        <v>1179</v>
      </c>
      <c r="F252" s="2" t="s">
        <v>1203</v>
      </c>
      <c r="G252" s="4"/>
      <c r="H252" s="2" t="str">
        <f aca="false">IF(C252&gt;CRM_Dashboard!$B$3,"Future-dated",IF(AND(B252=B251,C252&lt;C251),"Date out of sequence",IF(AND(G252&lt;&gt;"",G252&lt;=C252),"Follow-up not after interaction","")))</f>
        <v/>
      </c>
    </row>
    <row r="253" customFormat="false" ht="15" hidden="false" customHeight="false" outlineLevel="0" collapsed="false">
      <c r="A253" s="2" t="s">
        <v>1432</v>
      </c>
      <c r="B253" s="2" t="s">
        <v>420</v>
      </c>
      <c r="C253" s="4" t="n">
        <v>46263</v>
      </c>
      <c r="D253" s="2" t="s">
        <v>1161</v>
      </c>
      <c r="E253" s="2" t="s">
        <v>1162</v>
      </c>
      <c r="F253" s="2"/>
      <c r="G253" s="4"/>
      <c r="H253" s="2" t="str">
        <f aca="false">IF(C253&gt;CRM_Dashboard!$B$3,"Future-dated",IF(AND(B253=B252,C253&lt;C252),"Date out of sequence",IF(AND(G253&lt;&gt;"",G253&lt;=C253),"Follow-up not after interaction","")))</f>
        <v/>
      </c>
    </row>
    <row r="254" customFormat="false" ht="15" hidden="false" customHeight="false" outlineLevel="0" collapsed="false">
      <c r="A254" s="2" t="s">
        <v>1433</v>
      </c>
      <c r="B254" s="2" t="s">
        <v>420</v>
      </c>
      <c r="C254" s="4" t="n">
        <v>46266</v>
      </c>
      <c r="D254" s="2" t="s">
        <v>1161</v>
      </c>
      <c r="E254" s="2" t="s">
        <v>1188</v>
      </c>
      <c r="F254" s="2"/>
      <c r="G254" s="4"/>
      <c r="H254" s="2" t="str">
        <f aca="false">IF(C254&gt;CRM_Dashboard!$B$3,"Future-dated",IF(AND(B254=B253,C254&lt;C253),"Date out of sequence",IF(AND(G254&lt;&gt;"",G254&lt;=C254),"Follow-up not after interaction","")))</f>
        <v/>
      </c>
    </row>
    <row r="255" customFormat="false" ht="15" hidden="false" customHeight="false" outlineLevel="0" collapsed="false">
      <c r="A255" s="2" t="s">
        <v>1434</v>
      </c>
      <c r="B255" s="2" t="s">
        <v>420</v>
      </c>
      <c r="C255" s="4" t="n">
        <v>46261</v>
      </c>
      <c r="D255" s="2" t="s">
        <v>1161</v>
      </c>
      <c r="E255" s="2" t="s">
        <v>1162</v>
      </c>
      <c r="F255" s="2"/>
      <c r="G255" s="4"/>
      <c r="H255" s="2" t="str">
        <f aca="false">IF(C255&gt;CRM_Dashboard!$B$3,"Future-dated",IF(AND(B255=B254,C255&lt;C254),"Date out of sequence",IF(AND(G255&lt;&gt;"",G255&lt;=C255),"Follow-up not after interaction","")))</f>
        <v>Date out of sequence</v>
      </c>
    </row>
    <row r="256" customFormat="false" ht="15" hidden="false" customHeight="false" outlineLevel="0" collapsed="false">
      <c r="A256" s="2" t="s">
        <v>1435</v>
      </c>
      <c r="B256" s="2" t="s">
        <v>420</v>
      </c>
      <c r="C256" s="4" t="n">
        <v>46266</v>
      </c>
      <c r="D256" s="2" t="s">
        <v>1161</v>
      </c>
      <c r="E256" s="2" t="s">
        <v>1176</v>
      </c>
      <c r="F256" s="2" t="s">
        <v>1203</v>
      </c>
      <c r="G256" s="4" t="n">
        <v>46270</v>
      </c>
      <c r="H256" s="2" t="str">
        <f aca="false">IF(C256&gt;CRM_Dashboard!$B$3,"Future-dated",IF(AND(B256=B255,C256&lt;C255),"Date out of sequence",IF(AND(G256&lt;&gt;"",G256&lt;=C256),"Follow-up not after interaction","")))</f>
        <v/>
      </c>
    </row>
    <row r="257" customFormat="false" ht="15" hidden="false" customHeight="false" outlineLevel="0" collapsed="false">
      <c r="A257" s="2" t="s">
        <v>1436</v>
      </c>
      <c r="B257" s="2" t="s">
        <v>424</v>
      </c>
      <c r="C257" s="4" t="n">
        <v>46206</v>
      </c>
      <c r="D257" s="2" t="s">
        <v>1161</v>
      </c>
      <c r="E257" s="2" t="s">
        <v>1173</v>
      </c>
      <c r="F257" s="2"/>
      <c r="G257" s="4"/>
      <c r="H257" s="2" t="str">
        <f aca="false">IF(C257&gt;CRM_Dashboard!$B$3,"Future-dated",IF(AND(B257=B256,C257&lt;C256),"Date out of sequence",IF(AND(G257&lt;&gt;"",G257&lt;=C257),"Follow-up not after interaction","")))</f>
        <v/>
      </c>
    </row>
    <row r="258" customFormat="false" ht="15" hidden="false" customHeight="false" outlineLevel="0" collapsed="false">
      <c r="A258" s="2" t="s">
        <v>1437</v>
      </c>
      <c r="B258" s="2" t="s">
        <v>424</v>
      </c>
      <c r="C258" s="4" t="n">
        <v>46208</v>
      </c>
      <c r="D258" s="2" t="s">
        <v>1161</v>
      </c>
      <c r="E258" s="2" t="s">
        <v>1162</v>
      </c>
      <c r="F258" s="2" t="s">
        <v>1203</v>
      </c>
      <c r="G258" s="4"/>
      <c r="H258" s="2" t="str">
        <f aca="false">IF(C258&gt;CRM_Dashboard!$B$3,"Future-dated",IF(AND(B258=B257,C258&lt;C257),"Date out of sequence",IF(AND(G258&lt;&gt;"",G258&lt;=C258),"Follow-up not after interaction","")))</f>
        <v/>
      </c>
    </row>
    <row r="259" customFormat="false" ht="15" hidden="false" customHeight="false" outlineLevel="0" collapsed="false">
      <c r="A259" s="2" t="s">
        <v>1438</v>
      </c>
      <c r="B259" s="2" t="s">
        <v>428</v>
      </c>
      <c r="C259" s="4" t="n">
        <v>46254</v>
      </c>
      <c r="D259" s="2" t="s">
        <v>1161</v>
      </c>
      <c r="E259" s="2" t="s">
        <v>1176</v>
      </c>
      <c r="F259" s="2"/>
      <c r="G259" s="4"/>
      <c r="H259" s="2" t="str">
        <f aca="false">IF(C259&gt;CRM_Dashboard!$B$3,"Future-dated",IF(AND(B259=B258,C259&lt;C258),"Date out of sequence",IF(AND(G259&lt;&gt;"",G259&lt;=C259),"Follow-up not after interaction","")))</f>
        <v/>
      </c>
    </row>
    <row r="260" customFormat="false" ht="15" hidden="false" customHeight="false" outlineLevel="0" collapsed="false">
      <c r="A260" s="2" t="s">
        <v>1439</v>
      </c>
      <c r="B260" s="2" t="s">
        <v>428</v>
      </c>
      <c r="C260" s="4" t="n">
        <v>46252</v>
      </c>
      <c r="D260" s="2" t="s">
        <v>1161</v>
      </c>
      <c r="E260" s="2" t="s">
        <v>1252</v>
      </c>
      <c r="F260" s="2" t="s">
        <v>1174</v>
      </c>
      <c r="G260" s="4"/>
      <c r="H260" s="2" t="str">
        <f aca="false">IF(C260&gt;CRM_Dashboard!$B$3,"Future-dated",IF(AND(B260=B259,C260&lt;C259),"Date out of sequence",IF(AND(G260&lt;&gt;"",G260&lt;=C260),"Follow-up not after interaction","")))</f>
        <v>Date out of sequence</v>
      </c>
    </row>
    <row r="261" customFormat="false" ht="15" hidden="false" customHeight="false" outlineLevel="0" collapsed="false">
      <c r="A261" s="2" t="s">
        <v>1440</v>
      </c>
      <c r="B261" s="2" t="s">
        <v>431</v>
      </c>
      <c r="C261" s="4" t="n">
        <v>46248</v>
      </c>
      <c r="D261" s="2" t="s">
        <v>1161</v>
      </c>
      <c r="E261" s="2" t="s">
        <v>1167</v>
      </c>
      <c r="F261" s="2"/>
      <c r="G261" s="4"/>
      <c r="H261" s="2" t="str">
        <f aca="false">IF(C261&gt;CRM_Dashboard!$B$3,"Future-dated",IF(AND(B261=B260,C261&lt;C260),"Date out of sequence",IF(AND(G261&lt;&gt;"",G261&lt;=C261),"Follow-up not after interaction","")))</f>
        <v/>
      </c>
    </row>
    <row r="262" customFormat="false" ht="15" hidden="false" customHeight="false" outlineLevel="0" collapsed="false">
      <c r="A262" s="2" t="s">
        <v>1441</v>
      </c>
      <c r="B262" s="2" t="s">
        <v>431</v>
      </c>
      <c r="C262" s="4" t="n">
        <v>46250</v>
      </c>
      <c r="D262" s="2" t="s">
        <v>1161</v>
      </c>
      <c r="E262" s="2" t="s">
        <v>1188</v>
      </c>
      <c r="F262" s="2"/>
      <c r="G262" s="4"/>
      <c r="H262" s="2" t="str">
        <f aca="false">IF(C262&gt;CRM_Dashboard!$B$3,"Future-dated",IF(AND(B262=B261,C262&lt;C261),"Date out of sequence",IF(AND(G262&lt;&gt;"",G262&lt;=C262),"Follow-up not after interaction","")))</f>
        <v/>
      </c>
    </row>
    <row r="263" customFormat="false" ht="15" hidden="false" customHeight="false" outlineLevel="0" collapsed="false">
      <c r="A263" s="2" t="s">
        <v>1442</v>
      </c>
      <c r="B263" s="2" t="s">
        <v>431</v>
      </c>
      <c r="C263" s="4" t="n">
        <v>46249</v>
      </c>
      <c r="D263" s="2" t="s">
        <v>1161</v>
      </c>
      <c r="E263" s="2" t="s">
        <v>1176</v>
      </c>
      <c r="F263" s="2"/>
      <c r="G263" s="4"/>
      <c r="H263" s="2" t="str">
        <f aca="false">IF(C263&gt;CRM_Dashboard!$B$3,"Future-dated",IF(AND(B263=B262,C263&lt;C262),"Date out of sequence",IF(AND(G263&lt;&gt;"",G263&lt;=C263),"Follow-up not after interaction","")))</f>
        <v>Date out of sequence</v>
      </c>
    </row>
    <row r="264" customFormat="false" ht="15" hidden="false" customHeight="false" outlineLevel="0" collapsed="false">
      <c r="A264" s="2" t="s">
        <v>1443</v>
      </c>
      <c r="B264" s="2" t="s">
        <v>431</v>
      </c>
      <c r="C264" s="4" t="n">
        <v>46252</v>
      </c>
      <c r="D264" s="2" t="s">
        <v>1161</v>
      </c>
      <c r="E264" s="2" t="s">
        <v>1185</v>
      </c>
      <c r="F264" s="2" t="s">
        <v>1183</v>
      </c>
      <c r="G264" s="4"/>
      <c r="H264" s="2" t="str">
        <f aca="false">IF(C264&gt;CRM_Dashboard!$B$3,"Future-dated",IF(AND(B264=B263,C264&lt;C263),"Date out of sequence",IF(AND(G264&lt;&gt;"",G264&lt;=C264),"Follow-up not after interaction","")))</f>
        <v/>
      </c>
    </row>
    <row r="265" customFormat="false" ht="15" hidden="false" customHeight="false" outlineLevel="0" collapsed="false">
      <c r="A265" s="2" t="s">
        <v>1444</v>
      </c>
      <c r="B265" s="2" t="s">
        <v>435</v>
      </c>
      <c r="C265" s="4" t="n">
        <v>46221</v>
      </c>
      <c r="D265" s="2" t="s">
        <v>1161</v>
      </c>
      <c r="E265" s="2" t="s">
        <v>1176</v>
      </c>
      <c r="F265" s="2"/>
      <c r="G265" s="4"/>
      <c r="H265" s="2" t="str">
        <f aca="false">IF(C265&gt;CRM_Dashboard!$B$3,"Future-dated",IF(AND(B265=B264,C265&lt;C264),"Date out of sequence",IF(AND(G265&lt;&gt;"",G265&lt;=C265),"Follow-up not after interaction","")))</f>
        <v/>
      </c>
    </row>
    <row r="266" customFormat="false" ht="15" hidden="false" customHeight="false" outlineLevel="0" collapsed="false">
      <c r="A266" s="2" t="s">
        <v>1445</v>
      </c>
      <c r="B266" s="2" t="s">
        <v>435</v>
      </c>
      <c r="C266" s="4" t="n">
        <v>46220</v>
      </c>
      <c r="D266" s="2" t="s">
        <v>1161</v>
      </c>
      <c r="E266" s="2" t="s">
        <v>1176</v>
      </c>
      <c r="F266" s="2" t="s">
        <v>1165</v>
      </c>
      <c r="G266" s="4" t="n">
        <v>46222</v>
      </c>
      <c r="H266" s="2" t="str">
        <f aca="false">IF(C266&gt;CRM_Dashboard!$B$3,"Future-dated",IF(AND(B266=B265,C266&lt;C265),"Date out of sequence",IF(AND(G266&lt;&gt;"",G266&lt;=C266),"Follow-up not after interaction","")))</f>
        <v>Date out of sequence</v>
      </c>
    </row>
    <row r="267" customFormat="false" ht="15" hidden="false" customHeight="false" outlineLevel="0" collapsed="false">
      <c r="A267" s="2" t="s">
        <v>1446</v>
      </c>
      <c r="B267" s="2" t="s">
        <v>439</v>
      </c>
      <c r="C267" s="4" t="n">
        <v>46221</v>
      </c>
      <c r="D267" s="2" t="s">
        <v>1161</v>
      </c>
      <c r="E267" s="2" t="s">
        <v>1205</v>
      </c>
      <c r="F267" s="2"/>
      <c r="G267" s="4"/>
      <c r="H267" s="2" t="str">
        <f aca="false">IF(C267&gt;CRM_Dashboard!$B$3,"Future-dated",IF(AND(B267=B266,C267&lt;C266),"Date out of sequence",IF(AND(G267&lt;&gt;"",G267&lt;=C267),"Follow-up not after interaction","")))</f>
        <v/>
      </c>
    </row>
    <row r="268" customFormat="false" ht="15" hidden="false" customHeight="false" outlineLevel="0" collapsed="false">
      <c r="A268" s="2" t="s">
        <v>1447</v>
      </c>
      <c r="B268" s="2" t="s">
        <v>439</v>
      </c>
      <c r="C268" s="4" t="n">
        <v>46218</v>
      </c>
      <c r="D268" s="2" t="s">
        <v>1161</v>
      </c>
      <c r="E268" s="2" t="s">
        <v>1173</v>
      </c>
      <c r="F268" s="2" t="s">
        <v>1168</v>
      </c>
      <c r="G268" s="4" t="n">
        <v>46221</v>
      </c>
      <c r="H268" s="2" t="str">
        <f aca="false">IF(C268&gt;CRM_Dashboard!$B$3,"Future-dated",IF(AND(B268=B267,C268&lt;C267),"Date out of sequence",IF(AND(G268&lt;&gt;"",G268&lt;=C268),"Follow-up not after interaction","")))</f>
        <v>Date out of sequence</v>
      </c>
    </row>
    <row r="269" customFormat="false" ht="15" hidden="false" customHeight="false" outlineLevel="0" collapsed="false">
      <c r="A269" s="2" t="s">
        <v>1448</v>
      </c>
      <c r="B269" s="2" t="s">
        <v>443</v>
      </c>
      <c r="C269" s="4" t="n">
        <v>46289</v>
      </c>
      <c r="D269" s="2" t="s">
        <v>1161</v>
      </c>
      <c r="E269" s="2" t="s">
        <v>1162</v>
      </c>
      <c r="F269" s="2" t="s">
        <v>1183</v>
      </c>
      <c r="G269" s="4"/>
      <c r="H269" s="2" t="str">
        <f aca="false">IF(C269&gt;CRM_Dashboard!$B$3,"Future-dated",IF(AND(B269=B268,C269&lt;C268),"Date out of sequence",IF(AND(G269&lt;&gt;"",G269&lt;=C269),"Follow-up not after interaction","")))</f>
        <v/>
      </c>
    </row>
    <row r="270" customFormat="false" ht="15" hidden="false" customHeight="false" outlineLevel="0" collapsed="false">
      <c r="A270" s="2" t="s">
        <v>1449</v>
      </c>
      <c r="B270" s="2" t="s">
        <v>447</v>
      </c>
      <c r="C270" s="4" t="n">
        <v>46245</v>
      </c>
      <c r="D270" s="2" t="s">
        <v>1161</v>
      </c>
      <c r="E270" s="2" t="s">
        <v>1176</v>
      </c>
      <c r="F270" s="2"/>
      <c r="G270" s="4"/>
      <c r="H270" s="2" t="str">
        <f aca="false">IF(C270&gt;CRM_Dashboard!$B$3,"Future-dated",IF(AND(B270=B269,C270&lt;C269),"Date out of sequence",IF(AND(G270&lt;&gt;"",G270&lt;=C270),"Follow-up not after interaction","")))</f>
        <v/>
      </c>
    </row>
    <row r="271" customFormat="false" ht="15" hidden="false" customHeight="false" outlineLevel="0" collapsed="false">
      <c r="A271" s="2" t="s">
        <v>1450</v>
      </c>
      <c r="B271" s="2" t="s">
        <v>447</v>
      </c>
      <c r="C271" s="4" t="n">
        <v>46246</v>
      </c>
      <c r="D271" s="2" t="s">
        <v>1161</v>
      </c>
      <c r="E271" s="2" t="s">
        <v>1176</v>
      </c>
      <c r="F271" s="2" t="s">
        <v>1174</v>
      </c>
      <c r="G271" s="4" t="n">
        <v>46249</v>
      </c>
      <c r="H271" s="2" t="str">
        <f aca="false">IF(C271&gt;CRM_Dashboard!$B$3,"Future-dated",IF(AND(B271=B270,C271&lt;C270),"Date out of sequence",IF(AND(G271&lt;&gt;"",G271&lt;=C271),"Follow-up not after interaction","")))</f>
        <v/>
      </c>
    </row>
    <row r="272" customFormat="false" ht="15" hidden="false" customHeight="false" outlineLevel="0" collapsed="false">
      <c r="A272" s="2" t="s">
        <v>1451</v>
      </c>
      <c r="B272" s="2" t="s">
        <v>451</v>
      </c>
      <c r="C272" s="4" t="n">
        <v>46255</v>
      </c>
      <c r="D272" s="2" t="s">
        <v>1161</v>
      </c>
      <c r="E272" s="2" t="s">
        <v>1162</v>
      </c>
      <c r="F272" s="2"/>
      <c r="G272" s="4"/>
      <c r="H272" s="2" t="str">
        <f aca="false">IF(C272&gt;CRM_Dashboard!$B$3,"Future-dated",IF(AND(B272=B271,C272&lt;C271),"Date out of sequence",IF(AND(G272&lt;&gt;"",G272&lt;=C272),"Follow-up not after interaction","")))</f>
        <v/>
      </c>
    </row>
    <row r="273" customFormat="false" ht="15" hidden="false" customHeight="false" outlineLevel="0" collapsed="false">
      <c r="A273" s="2" t="s">
        <v>1452</v>
      </c>
      <c r="B273" s="2" t="s">
        <v>451</v>
      </c>
      <c r="C273" s="4" t="n">
        <v>46251</v>
      </c>
      <c r="D273" s="2" t="s">
        <v>1161</v>
      </c>
      <c r="E273" s="2" t="s">
        <v>1179</v>
      </c>
      <c r="F273" s="2"/>
      <c r="G273" s="4"/>
      <c r="H273" s="2" t="str">
        <f aca="false">IF(C273&gt;CRM_Dashboard!$B$3,"Future-dated",IF(AND(B273=B272,C273&lt;C272),"Date out of sequence",IF(AND(G273&lt;&gt;"",G273&lt;=C273),"Follow-up not after interaction","")))</f>
        <v>Date out of sequence</v>
      </c>
    </row>
    <row r="274" customFormat="false" ht="15" hidden="false" customHeight="false" outlineLevel="0" collapsed="false">
      <c r="A274" s="2" t="s">
        <v>1453</v>
      </c>
      <c r="B274" s="2" t="s">
        <v>451</v>
      </c>
      <c r="C274" s="4" t="n">
        <v>46252</v>
      </c>
      <c r="D274" s="2" t="s">
        <v>1161</v>
      </c>
      <c r="E274" s="2" t="s">
        <v>1179</v>
      </c>
      <c r="F274" s="2" t="s">
        <v>1177</v>
      </c>
      <c r="G274" s="4"/>
      <c r="H274" s="2" t="str">
        <f aca="false">IF(C274&gt;CRM_Dashboard!$B$3,"Future-dated",IF(AND(B274=B273,C274&lt;C273),"Date out of sequence",IF(AND(G274&lt;&gt;"",G274&lt;=C274),"Follow-up not after interaction","")))</f>
        <v/>
      </c>
    </row>
    <row r="275" customFormat="false" ht="15" hidden="false" customHeight="false" outlineLevel="0" collapsed="false">
      <c r="A275" s="2" t="s">
        <v>1454</v>
      </c>
      <c r="B275" s="2" t="s">
        <v>455</v>
      </c>
      <c r="C275" s="4" t="n">
        <v>46265</v>
      </c>
      <c r="D275" s="2" t="s">
        <v>1161</v>
      </c>
      <c r="E275" s="2" t="s">
        <v>1171</v>
      </c>
      <c r="F275" s="2"/>
      <c r="G275" s="4"/>
      <c r="H275" s="2" t="str">
        <f aca="false">IF(C275&gt;CRM_Dashboard!$B$3,"Future-dated",IF(AND(B275=B274,C275&lt;C274),"Date out of sequence",IF(AND(G275&lt;&gt;"",G275&lt;=C275),"Follow-up not after interaction","")))</f>
        <v/>
      </c>
    </row>
    <row r="276" customFormat="false" ht="15" hidden="false" customHeight="false" outlineLevel="0" collapsed="false">
      <c r="A276" s="2" t="s">
        <v>1455</v>
      </c>
      <c r="B276" s="2" t="s">
        <v>455</v>
      </c>
      <c r="C276" s="4" t="n">
        <v>46270</v>
      </c>
      <c r="D276" s="2" t="s">
        <v>1161</v>
      </c>
      <c r="E276" s="2" t="s">
        <v>1176</v>
      </c>
      <c r="F276" s="2" t="s">
        <v>1174</v>
      </c>
      <c r="G276" s="4" t="n">
        <v>46270</v>
      </c>
      <c r="H276" s="2" t="str">
        <f aca="false">IF(C276&gt;CRM_Dashboard!$B$3,"Future-dated",IF(AND(B276=B275,C276&lt;C275),"Date out of sequence",IF(AND(G276&lt;&gt;"",G276&lt;=C276),"Follow-up not after interaction","")))</f>
        <v>Follow-up not after interaction</v>
      </c>
    </row>
    <row r="277" customFormat="false" ht="15" hidden="false" customHeight="false" outlineLevel="0" collapsed="false">
      <c r="A277" s="2" t="s">
        <v>1456</v>
      </c>
      <c r="B277" s="2" t="s">
        <v>459</v>
      </c>
      <c r="C277" s="4" t="n">
        <v>46274</v>
      </c>
      <c r="D277" s="2" t="s">
        <v>1161</v>
      </c>
      <c r="E277" s="2" t="s">
        <v>1173</v>
      </c>
      <c r="F277" s="2"/>
      <c r="G277" s="4"/>
      <c r="H277" s="2" t="str">
        <f aca="false">IF(C277&gt;CRM_Dashboard!$B$3,"Future-dated",IF(AND(B277=B276,C277&lt;C276),"Date out of sequence",IF(AND(G277&lt;&gt;"",G277&lt;=C277),"Follow-up not after interaction","")))</f>
        <v/>
      </c>
    </row>
    <row r="278" customFormat="false" ht="15" hidden="false" customHeight="false" outlineLevel="0" collapsed="false">
      <c r="A278" s="2" t="s">
        <v>1457</v>
      </c>
      <c r="B278" s="2" t="s">
        <v>459</v>
      </c>
      <c r="C278" s="4" t="n">
        <v>46274</v>
      </c>
      <c r="D278" s="2" t="s">
        <v>1161</v>
      </c>
      <c r="E278" s="2" t="s">
        <v>1185</v>
      </c>
      <c r="F278" s="2" t="s">
        <v>1183</v>
      </c>
      <c r="G278" s="4"/>
      <c r="H278" s="2" t="str">
        <f aca="false">IF(C278&gt;CRM_Dashboard!$B$3,"Future-dated",IF(AND(B278=B277,C278&lt;C277),"Date out of sequence",IF(AND(G278&lt;&gt;"",G278&lt;=C278),"Follow-up not after interaction","")))</f>
        <v/>
      </c>
    </row>
    <row r="279" customFormat="false" ht="15" hidden="false" customHeight="false" outlineLevel="0" collapsed="false">
      <c r="A279" s="2" t="s">
        <v>1458</v>
      </c>
      <c r="B279" s="2" t="s">
        <v>463</v>
      </c>
      <c r="C279" s="4" t="n">
        <v>46216</v>
      </c>
      <c r="D279" s="2" t="s">
        <v>1161</v>
      </c>
      <c r="E279" s="2" t="s">
        <v>1173</v>
      </c>
      <c r="F279" s="2"/>
      <c r="G279" s="4"/>
      <c r="H279" s="2" t="str">
        <f aca="false">IF(C279&gt;CRM_Dashboard!$B$3,"Future-dated",IF(AND(B279=B278,C279&lt;C278),"Date out of sequence",IF(AND(G279&lt;&gt;"",G279&lt;=C279),"Follow-up not after interaction","")))</f>
        <v/>
      </c>
    </row>
    <row r="280" customFormat="false" ht="15" hidden="false" customHeight="false" outlineLevel="0" collapsed="false">
      <c r="A280" s="2" t="s">
        <v>1459</v>
      </c>
      <c r="B280" s="2" t="s">
        <v>463</v>
      </c>
      <c r="C280" s="4" t="n">
        <v>46221</v>
      </c>
      <c r="D280" s="2" t="s">
        <v>1161</v>
      </c>
      <c r="E280" s="2" t="s">
        <v>1188</v>
      </c>
      <c r="F280" s="2"/>
      <c r="G280" s="4"/>
      <c r="H280" s="2" t="str">
        <f aca="false">IF(C280&gt;CRM_Dashboard!$B$3,"Future-dated",IF(AND(B280=B279,C280&lt;C279),"Date out of sequence",IF(AND(G280&lt;&gt;"",G280&lt;=C280),"Follow-up not after interaction","")))</f>
        <v/>
      </c>
    </row>
    <row r="281" customFormat="false" ht="15" hidden="false" customHeight="false" outlineLevel="0" collapsed="false">
      <c r="A281" s="2" t="s">
        <v>1460</v>
      </c>
      <c r="B281" s="2" t="s">
        <v>463</v>
      </c>
      <c r="C281" s="4" t="n">
        <v>46217</v>
      </c>
      <c r="D281" s="2" t="s">
        <v>1161</v>
      </c>
      <c r="E281" s="2" t="s">
        <v>1167</v>
      </c>
      <c r="F281" s="2"/>
      <c r="G281" s="4"/>
      <c r="H281" s="2" t="str">
        <f aca="false">IF(C281&gt;CRM_Dashboard!$B$3,"Future-dated",IF(AND(B281=B280,C281&lt;C280),"Date out of sequence",IF(AND(G281&lt;&gt;"",G281&lt;=C281),"Follow-up not after interaction","")))</f>
        <v>Date out of sequence</v>
      </c>
    </row>
    <row r="282" customFormat="false" ht="15" hidden="false" customHeight="false" outlineLevel="0" collapsed="false">
      <c r="A282" s="2" t="s">
        <v>1461</v>
      </c>
      <c r="B282" s="2" t="s">
        <v>463</v>
      </c>
      <c r="C282" s="4" t="n">
        <v>46219</v>
      </c>
      <c r="D282" s="2" t="s">
        <v>1161</v>
      </c>
      <c r="E282" s="2" t="s">
        <v>1205</v>
      </c>
      <c r="F282" s="2" t="s">
        <v>1203</v>
      </c>
      <c r="G282" s="4"/>
      <c r="H282" s="2" t="str">
        <f aca="false">IF(C282&gt;CRM_Dashboard!$B$3,"Future-dated",IF(AND(B282=B281,C282&lt;C281),"Date out of sequence",IF(AND(G282&lt;&gt;"",G282&lt;=C282),"Follow-up not after interaction","")))</f>
        <v/>
      </c>
    </row>
    <row r="283" customFormat="false" ht="15" hidden="false" customHeight="false" outlineLevel="0" collapsed="false">
      <c r="A283" s="2" t="s">
        <v>1462</v>
      </c>
      <c r="B283" s="2" t="s">
        <v>467</v>
      </c>
      <c r="C283" s="4" t="n">
        <v>46215</v>
      </c>
      <c r="D283" s="2" t="s">
        <v>1161</v>
      </c>
      <c r="E283" s="2" t="s">
        <v>1176</v>
      </c>
      <c r="F283" s="2"/>
      <c r="G283" s="4"/>
      <c r="H283" s="2" t="str">
        <f aca="false">IF(C283&gt;CRM_Dashboard!$B$3,"Future-dated",IF(AND(B283=B282,C283&lt;C282),"Date out of sequence",IF(AND(G283&lt;&gt;"",G283&lt;=C283),"Follow-up not after interaction","")))</f>
        <v/>
      </c>
    </row>
    <row r="284" customFormat="false" ht="15" hidden="false" customHeight="false" outlineLevel="0" collapsed="false">
      <c r="A284" s="2" t="s">
        <v>1463</v>
      </c>
      <c r="B284" s="2" t="s">
        <v>467</v>
      </c>
      <c r="C284" s="4" t="n">
        <v>46220</v>
      </c>
      <c r="D284" s="2" t="s">
        <v>1161</v>
      </c>
      <c r="E284" s="2" t="s">
        <v>1167</v>
      </c>
      <c r="F284" s="2"/>
      <c r="G284" s="4"/>
      <c r="H284" s="2" t="str">
        <f aca="false">IF(C284&gt;CRM_Dashboard!$B$3,"Future-dated",IF(AND(B284=B283,C284&lt;C283),"Date out of sequence",IF(AND(G284&lt;&gt;"",G284&lt;=C284),"Follow-up not after interaction","")))</f>
        <v/>
      </c>
    </row>
    <row r="285" customFormat="false" ht="15" hidden="false" customHeight="false" outlineLevel="0" collapsed="false">
      <c r="A285" s="2" t="s">
        <v>1464</v>
      </c>
      <c r="B285" s="2" t="s">
        <v>467</v>
      </c>
      <c r="C285" s="4" t="n">
        <v>46220</v>
      </c>
      <c r="D285" s="2" t="s">
        <v>1161</v>
      </c>
      <c r="E285" s="2" t="s">
        <v>1173</v>
      </c>
      <c r="F285" s="2" t="s">
        <v>1209</v>
      </c>
      <c r="G285" s="4" t="n">
        <v>46223</v>
      </c>
      <c r="H285" s="2" t="str">
        <f aca="false">IF(C285&gt;CRM_Dashboard!$B$3,"Future-dated",IF(AND(B285=B284,C285&lt;C284),"Date out of sequence",IF(AND(G285&lt;&gt;"",G285&lt;=C285),"Follow-up not after interaction","")))</f>
        <v/>
      </c>
    </row>
    <row r="286" customFormat="false" ht="15" hidden="false" customHeight="false" outlineLevel="0" collapsed="false">
      <c r="A286" s="2" t="s">
        <v>1465</v>
      </c>
      <c r="B286" s="2" t="s">
        <v>471</v>
      </c>
      <c r="C286" s="4" t="n">
        <v>46227</v>
      </c>
      <c r="D286" s="2" t="s">
        <v>1161</v>
      </c>
      <c r="E286" s="2" t="s">
        <v>1173</v>
      </c>
      <c r="F286" s="2"/>
      <c r="G286" s="4"/>
      <c r="H286" s="2" t="str">
        <f aca="false">IF(C286&gt;CRM_Dashboard!$B$3,"Future-dated",IF(AND(B286=B285,C286&lt;C285),"Date out of sequence",IF(AND(G286&lt;&gt;"",G286&lt;=C286),"Follow-up not after interaction","")))</f>
        <v/>
      </c>
    </row>
    <row r="287" customFormat="false" ht="15" hidden="false" customHeight="false" outlineLevel="0" collapsed="false">
      <c r="A287" s="2" t="s">
        <v>1466</v>
      </c>
      <c r="B287" s="2" t="s">
        <v>471</v>
      </c>
      <c r="C287" s="4" t="n">
        <v>46228</v>
      </c>
      <c r="D287" s="2" t="s">
        <v>1161</v>
      </c>
      <c r="E287" s="2" t="s">
        <v>1188</v>
      </c>
      <c r="F287" s="2" t="s">
        <v>1209</v>
      </c>
      <c r="G287" s="4"/>
      <c r="H287" s="2" t="str">
        <f aca="false">IF(C287&gt;CRM_Dashboard!$B$3,"Future-dated",IF(AND(B287=B286,C287&lt;C286),"Date out of sequence",IF(AND(G287&lt;&gt;"",G287&lt;=C287),"Follow-up not after interaction","")))</f>
        <v/>
      </c>
    </row>
    <row r="288" customFormat="false" ht="15" hidden="false" customHeight="false" outlineLevel="0" collapsed="false">
      <c r="A288" s="2" t="s">
        <v>1467</v>
      </c>
      <c r="B288" s="2" t="s">
        <v>475</v>
      </c>
      <c r="C288" s="4" t="n">
        <v>46287</v>
      </c>
      <c r="D288" s="2" t="s">
        <v>1161</v>
      </c>
      <c r="E288" s="2" t="s">
        <v>1167</v>
      </c>
      <c r="F288" s="2"/>
      <c r="G288" s="4"/>
      <c r="H288" s="2" t="str">
        <f aca="false">IF(C288&gt;CRM_Dashboard!$B$3,"Future-dated",IF(AND(B288=B287,C288&lt;C287),"Date out of sequence",IF(AND(G288&lt;&gt;"",G288&lt;=C288),"Follow-up not after interaction","")))</f>
        <v/>
      </c>
    </row>
    <row r="289" customFormat="false" ht="15" hidden="false" customHeight="false" outlineLevel="0" collapsed="false">
      <c r="A289" s="2" t="s">
        <v>1468</v>
      </c>
      <c r="B289" s="2" t="s">
        <v>475</v>
      </c>
      <c r="C289" s="4" t="n">
        <v>46289</v>
      </c>
      <c r="D289" s="2" t="s">
        <v>1161</v>
      </c>
      <c r="E289" s="2" t="s">
        <v>1162</v>
      </c>
      <c r="F289" s="2" t="s">
        <v>1209</v>
      </c>
      <c r="G289" s="4"/>
      <c r="H289" s="2" t="str">
        <f aca="false">IF(C289&gt;CRM_Dashboard!$B$3,"Future-dated",IF(AND(B289=B288,C289&lt;C288),"Date out of sequence",IF(AND(G289&lt;&gt;"",G289&lt;=C289),"Follow-up not after interaction","")))</f>
        <v/>
      </c>
    </row>
    <row r="290" customFormat="false" ht="15" hidden="false" customHeight="false" outlineLevel="0" collapsed="false">
      <c r="A290" s="2" t="s">
        <v>1469</v>
      </c>
      <c r="B290" s="2" t="s">
        <v>479</v>
      </c>
      <c r="C290" s="4" t="n">
        <v>46293</v>
      </c>
      <c r="D290" s="2" t="s">
        <v>1161</v>
      </c>
      <c r="E290" s="2" t="s">
        <v>1171</v>
      </c>
      <c r="F290" s="2"/>
      <c r="G290" s="4"/>
      <c r="H290" s="2" t="str">
        <f aca="false">IF(C290&gt;CRM_Dashboard!$B$3,"Future-dated",IF(AND(B290=B289,C290&lt;C289),"Date out of sequence",IF(AND(G290&lt;&gt;"",G290&lt;=C290),"Follow-up not after interaction","")))</f>
        <v/>
      </c>
    </row>
    <row r="291" customFormat="false" ht="15" hidden="false" customHeight="false" outlineLevel="0" collapsed="false">
      <c r="A291" s="2" t="s">
        <v>1470</v>
      </c>
      <c r="B291" s="2" t="s">
        <v>479</v>
      </c>
      <c r="C291" s="4" t="n">
        <v>46295</v>
      </c>
      <c r="D291" s="2" t="s">
        <v>1161</v>
      </c>
      <c r="E291" s="2" t="s">
        <v>1167</v>
      </c>
      <c r="F291" s="2" t="s">
        <v>1177</v>
      </c>
      <c r="G291" s="4" t="n">
        <v>46298</v>
      </c>
      <c r="H291" s="2" t="str">
        <f aca="false">IF(C291&gt;CRM_Dashboard!$B$3,"Future-dated",IF(AND(B291=B290,C291&lt;C290),"Date out of sequence",IF(AND(G291&lt;&gt;"",G291&lt;=C291),"Follow-up not after interaction","")))</f>
        <v>Future-dated</v>
      </c>
    </row>
    <row r="292" customFormat="false" ht="15" hidden="false" customHeight="false" outlineLevel="0" collapsed="false">
      <c r="A292" s="2" t="s">
        <v>1471</v>
      </c>
      <c r="B292" s="2" t="s">
        <v>482</v>
      </c>
      <c r="C292" s="4" t="n">
        <v>46277</v>
      </c>
      <c r="D292" s="2" t="s">
        <v>1161</v>
      </c>
      <c r="E292" s="2" t="s">
        <v>1176</v>
      </c>
      <c r="F292" s="2"/>
      <c r="G292" s="4"/>
      <c r="H292" s="2" t="str">
        <f aca="false">IF(C292&gt;CRM_Dashboard!$B$3,"Future-dated",IF(AND(B292=B291,C292&lt;C291),"Date out of sequence",IF(AND(G292&lt;&gt;"",G292&lt;=C292),"Follow-up not after interaction","")))</f>
        <v/>
      </c>
    </row>
    <row r="293" customFormat="false" ht="15" hidden="false" customHeight="false" outlineLevel="0" collapsed="false">
      <c r="A293" s="2" t="s">
        <v>1472</v>
      </c>
      <c r="B293" s="2" t="s">
        <v>482</v>
      </c>
      <c r="C293" s="4" t="n">
        <v>46282</v>
      </c>
      <c r="D293" s="2" t="s">
        <v>1161</v>
      </c>
      <c r="E293" s="2" t="s">
        <v>1173</v>
      </c>
      <c r="F293" s="2"/>
      <c r="G293" s="4"/>
      <c r="H293" s="2" t="str">
        <f aca="false">IF(C293&gt;CRM_Dashboard!$B$3,"Future-dated",IF(AND(B293=B292,C293&lt;C292),"Date out of sequence",IF(AND(G293&lt;&gt;"",G293&lt;=C293),"Follow-up not after interaction","")))</f>
        <v/>
      </c>
    </row>
    <row r="294" customFormat="false" ht="15" hidden="false" customHeight="false" outlineLevel="0" collapsed="false">
      <c r="A294" s="2" t="s">
        <v>1473</v>
      </c>
      <c r="B294" s="2" t="s">
        <v>482</v>
      </c>
      <c r="C294" s="4" t="n">
        <v>46279</v>
      </c>
      <c r="D294" s="2" t="s">
        <v>1161</v>
      </c>
      <c r="E294" s="2" t="s">
        <v>1176</v>
      </c>
      <c r="F294" s="2"/>
      <c r="G294" s="4"/>
      <c r="H294" s="2" t="str">
        <f aca="false">IF(C294&gt;CRM_Dashboard!$B$3,"Future-dated",IF(AND(B294=B293,C294&lt;C293),"Date out of sequence",IF(AND(G294&lt;&gt;"",G294&lt;=C294),"Follow-up not after interaction","")))</f>
        <v>Date out of sequence</v>
      </c>
    </row>
    <row r="295" customFormat="false" ht="15" hidden="false" customHeight="false" outlineLevel="0" collapsed="false">
      <c r="A295" s="2" t="s">
        <v>1474</v>
      </c>
      <c r="B295" s="2" t="s">
        <v>482</v>
      </c>
      <c r="C295" s="4" t="n">
        <v>46277</v>
      </c>
      <c r="D295" s="2" t="s">
        <v>1161</v>
      </c>
      <c r="E295" s="2" t="s">
        <v>1176</v>
      </c>
      <c r="F295" s="2" t="s">
        <v>1174</v>
      </c>
      <c r="G295" s="4" t="n">
        <v>46281</v>
      </c>
      <c r="H295" s="2" t="str">
        <f aca="false">IF(C295&gt;CRM_Dashboard!$B$3,"Future-dated",IF(AND(B295=B294,C295&lt;C294),"Date out of sequence",IF(AND(G295&lt;&gt;"",G295&lt;=C295),"Follow-up not after interaction","")))</f>
        <v>Date out of sequence</v>
      </c>
    </row>
    <row r="296" customFormat="false" ht="15" hidden="false" customHeight="false" outlineLevel="0" collapsed="false">
      <c r="A296" s="2" t="s">
        <v>1475</v>
      </c>
      <c r="B296" s="2" t="s">
        <v>485</v>
      </c>
      <c r="C296" s="4" t="n">
        <v>46277</v>
      </c>
      <c r="D296" s="2" t="s">
        <v>1161</v>
      </c>
      <c r="E296" s="2" t="s">
        <v>1188</v>
      </c>
      <c r="F296" s="2" t="s">
        <v>1168</v>
      </c>
      <c r="G296" s="4"/>
      <c r="H296" s="2" t="str">
        <f aca="false">IF(C296&gt;CRM_Dashboard!$B$3,"Future-dated",IF(AND(B296=B295,C296&lt;C295),"Date out of sequence",IF(AND(G296&lt;&gt;"",G296&lt;=C296),"Follow-up not after interaction","")))</f>
        <v/>
      </c>
    </row>
    <row r="297" customFormat="false" ht="15" hidden="false" customHeight="false" outlineLevel="0" collapsed="false">
      <c r="A297" s="2" t="s">
        <v>1476</v>
      </c>
      <c r="B297" s="2" t="s">
        <v>488</v>
      </c>
      <c r="C297" s="4" t="n">
        <v>46217</v>
      </c>
      <c r="D297" s="2" t="s">
        <v>1161</v>
      </c>
      <c r="E297" s="2" t="s">
        <v>1252</v>
      </c>
      <c r="F297" s="2"/>
      <c r="G297" s="4"/>
      <c r="H297" s="2" t="str">
        <f aca="false">IF(C297&gt;CRM_Dashboard!$B$3,"Future-dated",IF(AND(B297=B296,C297&lt;C296),"Date out of sequence",IF(AND(G297&lt;&gt;"",G297&lt;=C297),"Follow-up not after interaction","")))</f>
        <v/>
      </c>
    </row>
    <row r="298" customFormat="false" ht="15" hidden="false" customHeight="false" outlineLevel="0" collapsed="false">
      <c r="A298" s="2" t="s">
        <v>1477</v>
      </c>
      <c r="B298" s="2" t="s">
        <v>488</v>
      </c>
      <c r="C298" s="4" t="n">
        <v>46215</v>
      </c>
      <c r="D298" s="2" t="s">
        <v>1161</v>
      </c>
      <c r="E298" s="2" t="s">
        <v>1179</v>
      </c>
      <c r="F298" s="2" t="s">
        <v>1165</v>
      </c>
      <c r="G298" s="4"/>
      <c r="H298" s="2" t="str">
        <f aca="false">IF(C298&gt;CRM_Dashboard!$B$3,"Future-dated",IF(AND(B298=B297,C298&lt;C297),"Date out of sequence",IF(AND(G298&lt;&gt;"",G298&lt;=C298),"Follow-up not after interaction","")))</f>
        <v>Date out of sequence</v>
      </c>
    </row>
    <row r="299" customFormat="false" ht="15" hidden="false" customHeight="false" outlineLevel="0" collapsed="false">
      <c r="A299" s="2" t="s">
        <v>1478</v>
      </c>
      <c r="B299" s="2" t="s">
        <v>492</v>
      </c>
      <c r="C299" s="4" t="n">
        <v>46207</v>
      </c>
      <c r="D299" s="2" t="s">
        <v>1161</v>
      </c>
      <c r="E299" s="2" t="s">
        <v>1185</v>
      </c>
      <c r="F299" s="2"/>
      <c r="G299" s="4"/>
      <c r="H299" s="2" t="str">
        <f aca="false">IF(C299&gt;CRM_Dashboard!$B$3,"Future-dated",IF(AND(B299=B298,C299&lt;C298),"Date out of sequence",IF(AND(G299&lt;&gt;"",G299&lt;=C299),"Follow-up not after interaction","")))</f>
        <v/>
      </c>
    </row>
    <row r="300" customFormat="false" ht="15" hidden="false" customHeight="false" outlineLevel="0" collapsed="false">
      <c r="A300" s="2" t="s">
        <v>1479</v>
      </c>
      <c r="B300" s="2" t="s">
        <v>492</v>
      </c>
      <c r="C300" s="4" t="n">
        <v>46207</v>
      </c>
      <c r="D300" s="2" t="s">
        <v>1161</v>
      </c>
      <c r="E300" s="2" t="s">
        <v>1252</v>
      </c>
      <c r="F300" s="2"/>
      <c r="G300" s="4"/>
      <c r="H300" s="2" t="str">
        <f aca="false">IF(C300&gt;CRM_Dashboard!$B$3,"Future-dated",IF(AND(B300=B299,C300&lt;C299),"Date out of sequence",IF(AND(G300&lt;&gt;"",G300&lt;=C300),"Follow-up not after interaction","")))</f>
        <v/>
      </c>
    </row>
    <row r="301" customFormat="false" ht="15" hidden="false" customHeight="false" outlineLevel="0" collapsed="false">
      <c r="A301" s="2" t="s">
        <v>1480</v>
      </c>
      <c r="B301" s="2" t="s">
        <v>492</v>
      </c>
      <c r="C301" s="4" t="n">
        <v>46207</v>
      </c>
      <c r="D301" s="2" t="s">
        <v>1161</v>
      </c>
      <c r="E301" s="2" t="s">
        <v>1167</v>
      </c>
      <c r="F301" s="2" t="s">
        <v>1174</v>
      </c>
      <c r="G301" s="4" t="n">
        <v>46210</v>
      </c>
      <c r="H301" s="2" t="str">
        <f aca="false">IF(C301&gt;CRM_Dashboard!$B$3,"Future-dated",IF(AND(B301=B300,C301&lt;C300),"Date out of sequence",IF(AND(G301&lt;&gt;"",G301&lt;=C301),"Follow-up not after interaction","")))</f>
        <v/>
      </c>
    </row>
    <row r="302" customFormat="false" ht="15" hidden="false" customHeight="false" outlineLevel="0" collapsed="false">
      <c r="A302" s="2" t="s">
        <v>1481</v>
      </c>
      <c r="B302" s="2" t="s">
        <v>496</v>
      </c>
      <c r="C302" s="4" t="n">
        <v>46205</v>
      </c>
      <c r="D302" s="2" t="s">
        <v>1161</v>
      </c>
      <c r="E302" s="2" t="s">
        <v>1162</v>
      </c>
      <c r="F302" s="2" t="s">
        <v>1177</v>
      </c>
      <c r="G302" s="4"/>
      <c r="H302" s="2" t="str">
        <f aca="false">IF(C302&gt;CRM_Dashboard!$B$3,"Future-dated",IF(AND(B302=B301,C302&lt;C301),"Date out of sequence",IF(AND(G302&lt;&gt;"",G302&lt;=C302),"Follow-up not after interaction","")))</f>
        <v/>
      </c>
    </row>
    <row r="303" customFormat="false" ht="15" hidden="false" customHeight="false" outlineLevel="0" collapsed="false">
      <c r="A303" s="2" t="s">
        <v>1482</v>
      </c>
      <c r="B303" s="2" t="s">
        <v>500</v>
      </c>
      <c r="C303" s="4" t="n">
        <v>46212</v>
      </c>
      <c r="D303" s="2" t="s">
        <v>1161</v>
      </c>
      <c r="E303" s="2" t="s">
        <v>1176</v>
      </c>
      <c r="F303" s="2"/>
      <c r="G303" s="4"/>
      <c r="H303" s="2" t="str">
        <f aca="false">IF(C303&gt;CRM_Dashboard!$B$3,"Future-dated",IF(AND(B303=B302,C303&lt;C302),"Date out of sequence",IF(AND(G303&lt;&gt;"",G303&lt;=C303),"Follow-up not after interaction","")))</f>
        <v/>
      </c>
    </row>
    <row r="304" customFormat="false" ht="15" hidden="false" customHeight="false" outlineLevel="0" collapsed="false">
      <c r="A304" s="2" t="s">
        <v>1483</v>
      </c>
      <c r="B304" s="2" t="s">
        <v>500</v>
      </c>
      <c r="C304" s="4" t="n">
        <v>46214</v>
      </c>
      <c r="D304" s="2" t="s">
        <v>1161</v>
      </c>
      <c r="E304" s="2" t="s">
        <v>1252</v>
      </c>
      <c r="F304" s="2" t="s">
        <v>1177</v>
      </c>
      <c r="G304" s="4"/>
      <c r="H304" s="2" t="str">
        <f aca="false">IF(C304&gt;CRM_Dashboard!$B$3,"Future-dated",IF(AND(B304=B303,C304&lt;C303),"Date out of sequence",IF(AND(G304&lt;&gt;"",G304&lt;=C304),"Follow-up not after interaction","")))</f>
        <v/>
      </c>
    </row>
    <row r="305" customFormat="false" ht="15" hidden="false" customHeight="false" outlineLevel="0" collapsed="false">
      <c r="A305" s="2" t="s">
        <v>1484</v>
      </c>
      <c r="B305" s="2" t="s">
        <v>504</v>
      </c>
      <c r="C305" s="4" t="n">
        <v>46241</v>
      </c>
      <c r="D305" s="2" t="s">
        <v>1161</v>
      </c>
      <c r="E305" s="2" t="s">
        <v>1162</v>
      </c>
      <c r="F305" s="2"/>
      <c r="G305" s="4"/>
      <c r="H305" s="2" t="str">
        <f aca="false">IF(C305&gt;CRM_Dashboard!$B$3,"Future-dated",IF(AND(B305=B304,C305&lt;C304),"Date out of sequence",IF(AND(G305&lt;&gt;"",G305&lt;=C305),"Follow-up not after interaction","")))</f>
        <v/>
      </c>
    </row>
    <row r="306" customFormat="false" ht="15" hidden="false" customHeight="false" outlineLevel="0" collapsed="false">
      <c r="A306" s="2" t="s">
        <v>1485</v>
      </c>
      <c r="B306" s="2" t="s">
        <v>504</v>
      </c>
      <c r="C306" s="4" t="n">
        <v>46245</v>
      </c>
      <c r="D306" s="2" t="s">
        <v>1161</v>
      </c>
      <c r="E306" s="2" t="s">
        <v>1173</v>
      </c>
      <c r="F306" s="2"/>
      <c r="G306" s="4"/>
      <c r="H306" s="2" t="str">
        <f aca="false">IF(C306&gt;CRM_Dashboard!$B$3,"Future-dated",IF(AND(B306=B305,C306&lt;C305),"Date out of sequence",IF(AND(G306&lt;&gt;"",G306&lt;=C306),"Follow-up not after interaction","")))</f>
        <v/>
      </c>
    </row>
    <row r="307" customFormat="false" ht="15" hidden="false" customHeight="false" outlineLevel="0" collapsed="false">
      <c r="A307" s="2" t="s">
        <v>1486</v>
      </c>
      <c r="B307" s="2" t="s">
        <v>504</v>
      </c>
      <c r="C307" s="4" t="n">
        <v>46244</v>
      </c>
      <c r="D307" s="2" t="s">
        <v>1161</v>
      </c>
      <c r="E307" s="2" t="s">
        <v>1167</v>
      </c>
      <c r="F307" s="2"/>
      <c r="G307" s="4"/>
      <c r="H307" s="2" t="str">
        <f aca="false">IF(C307&gt;CRM_Dashboard!$B$3,"Future-dated",IF(AND(B307=B306,C307&lt;C306),"Date out of sequence",IF(AND(G307&lt;&gt;"",G307&lt;=C307),"Follow-up not after interaction","")))</f>
        <v>Date out of sequence</v>
      </c>
    </row>
    <row r="308" customFormat="false" ht="15" hidden="false" customHeight="false" outlineLevel="0" collapsed="false">
      <c r="A308" s="2" t="s">
        <v>1487</v>
      </c>
      <c r="B308" s="2" t="s">
        <v>504</v>
      </c>
      <c r="C308" s="4" t="n">
        <v>46245</v>
      </c>
      <c r="D308" s="2" t="s">
        <v>1161</v>
      </c>
      <c r="E308" s="2" t="s">
        <v>1162</v>
      </c>
      <c r="F308" s="2" t="s">
        <v>1209</v>
      </c>
      <c r="G308" s="4"/>
      <c r="H308" s="2" t="str">
        <f aca="false">IF(C308&gt;CRM_Dashboard!$B$3,"Future-dated",IF(AND(B308=B307,C308&lt;C307),"Date out of sequence",IF(AND(G308&lt;&gt;"",G308&lt;=C308),"Follow-up not after interaction","")))</f>
        <v/>
      </c>
    </row>
    <row r="309" customFormat="false" ht="15" hidden="false" customHeight="false" outlineLevel="0" collapsed="false">
      <c r="A309" s="2" t="s">
        <v>1488</v>
      </c>
      <c r="B309" s="2" t="s">
        <v>508</v>
      </c>
      <c r="C309" s="4" t="n">
        <v>46254</v>
      </c>
      <c r="D309" s="2" t="s">
        <v>1161</v>
      </c>
      <c r="E309" s="2" t="s">
        <v>1188</v>
      </c>
      <c r="F309" s="2"/>
      <c r="G309" s="4"/>
      <c r="H309" s="2" t="str">
        <f aca="false">IF(C309&gt;CRM_Dashboard!$B$3,"Future-dated",IF(AND(B309=B308,C309&lt;C308),"Date out of sequence",IF(AND(G309&lt;&gt;"",G309&lt;=C309),"Follow-up not after interaction","")))</f>
        <v/>
      </c>
    </row>
    <row r="310" customFormat="false" ht="15" hidden="false" customHeight="false" outlineLevel="0" collapsed="false">
      <c r="A310" s="2" t="s">
        <v>1489</v>
      </c>
      <c r="B310" s="2" t="s">
        <v>508</v>
      </c>
      <c r="C310" s="4" t="n">
        <v>46254</v>
      </c>
      <c r="D310" s="2" t="s">
        <v>1161</v>
      </c>
      <c r="E310" s="2" t="s">
        <v>1173</v>
      </c>
      <c r="F310" s="2"/>
      <c r="G310" s="4"/>
      <c r="H310" s="2" t="str">
        <f aca="false">IF(C310&gt;CRM_Dashboard!$B$3,"Future-dated",IF(AND(B310=B309,C310&lt;C309),"Date out of sequence",IF(AND(G310&lt;&gt;"",G310&lt;=C310),"Follow-up not after interaction","")))</f>
        <v/>
      </c>
    </row>
    <row r="311" customFormat="false" ht="15" hidden="false" customHeight="false" outlineLevel="0" collapsed="false">
      <c r="A311" s="2" t="s">
        <v>1490</v>
      </c>
      <c r="B311" s="2" t="s">
        <v>508</v>
      </c>
      <c r="C311" s="4" t="n">
        <v>46258</v>
      </c>
      <c r="D311" s="2" t="s">
        <v>1161</v>
      </c>
      <c r="E311" s="2" t="s">
        <v>1162</v>
      </c>
      <c r="F311" s="2" t="s">
        <v>1183</v>
      </c>
      <c r="G311" s="4"/>
      <c r="H311" s="2" t="str">
        <f aca="false">IF(C311&gt;CRM_Dashboard!$B$3,"Future-dated",IF(AND(B311=B310,C311&lt;C310),"Date out of sequence",IF(AND(G311&lt;&gt;"",G311&lt;=C311),"Follow-up not after interaction","")))</f>
        <v/>
      </c>
    </row>
    <row r="312" customFormat="false" ht="15" hidden="false" customHeight="false" outlineLevel="0" collapsed="false">
      <c r="A312" s="2" t="s">
        <v>1491</v>
      </c>
      <c r="B312" s="2" t="s">
        <v>512</v>
      </c>
      <c r="C312" s="4" t="n">
        <v>46289</v>
      </c>
      <c r="D312" s="2" t="s">
        <v>1161</v>
      </c>
      <c r="E312" s="2" t="s">
        <v>1252</v>
      </c>
      <c r="F312" s="2"/>
      <c r="G312" s="4"/>
      <c r="H312" s="2" t="str">
        <f aca="false">IF(C312&gt;CRM_Dashboard!$B$3,"Future-dated",IF(AND(B312=B311,C312&lt;C311),"Date out of sequence",IF(AND(G312&lt;&gt;"",G312&lt;=C312),"Follow-up not after interaction","")))</f>
        <v/>
      </c>
    </row>
    <row r="313" customFormat="false" ht="15" hidden="false" customHeight="false" outlineLevel="0" collapsed="false">
      <c r="A313" s="2" t="s">
        <v>1492</v>
      </c>
      <c r="B313" s="2" t="s">
        <v>512</v>
      </c>
      <c r="C313" s="4" t="n">
        <v>46289</v>
      </c>
      <c r="D313" s="2" t="s">
        <v>1161</v>
      </c>
      <c r="E313" s="2" t="s">
        <v>1188</v>
      </c>
      <c r="F313" s="2" t="s">
        <v>1174</v>
      </c>
      <c r="G313" s="4"/>
      <c r="H313" s="2" t="str">
        <f aca="false">IF(C313&gt;CRM_Dashboard!$B$3,"Future-dated",IF(AND(B313=B312,C313&lt;C312),"Date out of sequence",IF(AND(G313&lt;&gt;"",G313&lt;=C313),"Follow-up not after interaction","")))</f>
        <v/>
      </c>
    </row>
    <row r="314" customFormat="false" ht="15" hidden="false" customHeight="false" outlineLevel="0" collapsed="false">
      <c r="A314" s="2" t="s">
        <v>1493</v>
      </c>
      <c r="B314" s="2" t="s">
        <v>516</v>
      </c>
      <c r="C314" s="4" t="n">
        <v>46231</v>
      </c>
      <c r="D314" s="2" t="s">
        <v>1161</v>
      </c>
      <c r="E314" s="2" t="s">
        <v>1252</v>
      </c>
      <c r="F314" s="2" t="s">
        <v>1174</v>
      </c>
      <c r="G314" s="4"/>
      <c r="H314" s="2" t="str">
        <f aca="false">IF(C314&gt;CRM_Dashboard!$B$3,"Future-dated",IF(AND(B314=B313,C314&lt;C313),"Date out of sequence",IF(AND(G314&lt;&gt;"",G314&lt;=C314),"Follow-up not after interaction","")))</f>
        <v/>
      </c>
    </row>
    <row r="315" customFormat="false" ht="15" hidden="false" customHeight="false" outlineLevel="0" collapsed="false">
      <c r="A315" s="2" t="s">
        <v>1494</v>
      </c>
      <c r="B315" s="2" t="s">
        <v>520</v>
      </c>
      <c r="C315" s="4" t="n">
        <v>46286</v>
      </c>
      <c r="D315" s="2" t="s">
        <v>1161</v>
      </c>
      <c r="E315" s="2" t="s">
        <v>1173</v>
      </c>
      <c r="F315" s="2"/>
      <c r="G315" s="4"/>
      <c r="H315" s="2" t="str">
        <f aca="false">IF(C315&gt;CRM_Dashboard!$B$3,"Future-dated",IF(AND(B315=B314,C315&lt;C314),"Date out of sequence",IF(AND(G315&lt;&gt;"",G315&lt;=C315),"Follow-up not after interaction","")))</f>
        <v/>
      </c>
    </row>
    <row r="316" customFormat="false" ht="15" hidden="false" customHeight="false" outlineLevel="0" collapsed="false">
      <c r="A316" s="2" t="s">
        <v>1495</v>
      </c>
      <c r="B316" s="2" t="s">
        <v>520</v>
      </c>
      <c r="C316" s="4" t="n">
        <v>46289</v>
      </c>
      <c r="D316" s="2" t="s">
        <v>1161</v>
      </c>
      <c r="E316" s="2" t="s">
        <v>1185</v>
      </c>
      <c r="F316" s="2" t="s">
        <v>1203</v>
      </c>
      <c r="G316" s="4"/>
      <c r="H316" s="2" t="str">
        <f aca="false">IF(C316&gt;CRM_Dashboard!$B$3,"Future-dated",IF(AND(B316=B315,C316&lt;C315),"Date out of sequence",IF(AND(G316&lt;&gt;"",G316&lt;=C316),"Follow-up not after interaction","")))</f>
        <v/>
      </c>
    </row>
    <row r="317" customFormat="false" ht="15" hidden="false" customHeight="false" outlineLevel="0" collapsed="false">
      <c r="A317" s="2" t="s">
        <v>1496</v>
      </c>
      <c r="B317" s="2" t="s">
        <v>523</v>
      </c>
      <c r="C317" s="4" t="n">
        <v>46260</v>
      </c>
      <c r="D317" s="2" t="s">
        <v>1161</v>
      </c>
      <c r="E317" s="2" t="s">
        <v>1173</v>
      </c>
      <c r="F317" s="2"/>
      <c r="G317" s="4"/>
      <c r="H317" s="2" t="str">
        <f aca="false">IF(C317&gt;CRM_Dashboard!$B$3,"Future-dated",IF(AND(B317=B316,C317&lt;C316),"Date out of sequence",IF(AND(G317&lt;&gt;"",G317&lt;=C317),"Follow-up not after interaction","")))</f>
        <v/>
      </c>
    </row>
    <row r="318" customFormat="false" ht="15" hidden="false" customHeight="false" outlineLevel="0" collapsed="false">
      <c r="A318" s="2" t="s">
        <v>1497</v>
      </c>
      <c r="B318" s="2" t="s">
        <v>523</v>
      </c>
      <c r="C318" s="4" t="n">
        <v>46264</v>
      </c>
      <c r="D318" s="2" t="s">
        <v>1161</v>
      </c>
      <c r="E318" s="2" t="s">
        <v>1162</v>
      </c>
      <c r="F318" s="2"/>
      <c r="G318" s="4"/>
      <c r="H318" s="2" t="str">
        <f aca="false">IF(C318&gt;CRM_Dashboard!$B$3,"Future-dated",IF(AND(B318=B317,C318&lt;C317),"Date out of sequence",IF(AND(G318&lt;&gt;"",G318&lt;=C318),"Follow-up not after interaction","")))</f>
        <v/>
      </c>
    </row>
    <row r="319" customFormat="false" ht="15" hidden="false" customHeight="false" outlineLevel="0" collapsed="false">
      <c r="A319" s="2" t="s">
        <v>1498</v>
      </c>
      <c r="B319" s="2" t="s">
        <v>523</v>
      </c>
      <c r="C319" s="4" t="n">
        <v>46260</v>
      </c>
      <c r="D319" s="2" t="s">
        <v>1161</v>
      </c>
      <c r="E319" s="2" t="s">
        <v>1188</v>
      </c>
      <c r="F319" s="2"/>
      <c r="G319" s="4"/>
      <c r="H319" s="2" t="str">
        <f aca="false">IF(C319&gt;CRM_Dashboard!$B$3,"Future-dated",IF(AND(B319=B318,C319&lt;C318),"Date out of sequence",IF(AND(G319&lt;&gt;"",G319&lt;=C319),"Follow-up not after interaction","")))</f>
        <v>Date out of sequence</v>
      </c>
    </row>
    <row r="320" customFormat="false" ht="15" hidden="false" customHeight="false" outlineLevel="0" collapsed="false">
      <c r="A320" s="2" t="s">
        <v>1499</v>
      </c>
      <c r="B320" s="2" t="s">
        <v>523</v>
      </c>
      <c r="C320" s="4" t="n">
        <v>46270</v>
      </c>
      <c r="D320" s="2" t="s">
        <v>1161</v>
      </c>
      <c r="E320" s="2" t="s">
        <v>1173</v>
      </c>
      <c r="F320" s="2" t="s">
        <v>1168</v>
      </c>
      <c r="G320" s="4" t="n">
        <v>46265</v>
      </c>
      <c r="H320" s="2" t="str">
        <f aca="false">IF(C320&gt;CRM_Dashboard!$B$3,"Future-dated",IF(AND(B320=B319,C320&lt;C319),"Date out of sequence",IF(AND(G320&lt;&gt;"",G320&lt;=C320),"Follow-up not after interaction","")))</f>
        <v>Follow-up not after interaction</v>
      </c>
    </row>
    <row r="321" customFormat="false" ht="15" hidden="false" customHeight="false" outlineLevel="0" collapsed="false">
      <c r="A321" s="2" t="s">
        <v>1500</v>
      </c>
      <c r="B321" s="2" t="s">
        <v>526</v>
      </c>
      <c r="C321" s="4" t="n">
        <v>46249</v>
      </c>
      <c r="D321" s="2" t="s">
        <v>1161</v>
      </c>
      <c r="E321" s="2" t="s">
        <v>1162</v>
      </c>
      <c r="F321" s="2" t="s">
        <v>1174</v>
      </c>
      <c r="G321" s="4"/>
      <c r="H321" s="2" t="str">
        <f aca="false">IF(C321&gt;CRM_Dashboard!$B$3,"Future-dated",IF(AND(B321=B320,C321&lt;C320),"Date out of sequence",IF(AND(G321&lt;&gt;"",G321&lt;=C321),"Follow-up not after interaction","")))</f>
        <v/>
      </c>
    </row>
    <row r="322" customFormat="false" ht="15" hidden="false" customHeight="false" outlineLevel="0" collapsed="false">
      <c r="A322" s="2" t="s">
        <v>1501</v>
      </c>
      <c r="B322" s="2" t="s">
        <v>529</v>
      </c>
      <c r="C322" s="4" t="n">
        <v>46209</v>
      </c>
      <c r="D322" s="2" t="s">
        <v>1161</v>
      </c>
      <c r="E322" s="2" t="s">
        <v>1167</v>
      </c>
      <c r="F322" s="2"/>
      <c r="G322" s="4"/>
      <c r="H322" s="2" t="str">
        <f aca="false">IF(C322&gt;CRM_Dashboard!$B$3,"Future-dated",IF(AND(B322=B321,C322&lt;C321),"Date out of sequence",IF(AND(G322&lt;&gt;"",G322&lt;=C322),"Follow-up not after interaction","")))</f>
        <v/>
      </c>
    </row>
    <row r="323" customFormat="false" ht="15" hidden="false" customHeight="false" outlineLevel="0" collapsed="false">
      <c r="A323" s="2" t="s">
        <v>1502</v>
      </c>
      <c r="B323" s="2" t="s">
        <v>529</v>
      </c>
      <c r="C323" s="4" t="n">
        <v>46215</v>
      </c>
      <c r="D323" s="2" t="s">
        <v>1161</v>
      </c>
      <c r="E323" s="2" t="s">
        <v>1176</v>
      </c>
      <c r="F323" s="2"/>
      <c r="G323" s="4"/>
      <c r="H323" s="2" t="str">
        <f aca="false">IF(C323&gt;CRM_Dashboard!$B$3,"Future-dated",IF(AND(B323=B322,C323&lt;C322),"Date out of sequence",IF(AND(G323&lt;&gt;"",G323&lt;=C323),"Follow-up not after interaction","")))</f>
        <v/>
      </c>
    </row>
    <row r="324" customFormat="false" ht="15" hidden="false" customHeight="false" outlineLevel="0" collapsed="false">
      <c r="A324" s="2" t="s">
        <v>1503</v>
      </c>
      <c r="B324" s="2" t="s">
        <v>529</v>
      </c>
      <c r="C324" s="4" t="n">
        <v>46209</v>
      </c>
      <c r="D324" s="2" t="s">
        <v>1161</v>
      </c>
      <c r="E324" s="2" t="s">
        <v>1167</v>
      </c>
      <c r="F324" s="2" t="s">
        <v>1168</v>
      </c>
      <c r="G324" s="4" t="n">
        <v>46210</v>
      </c>
      <c r="H324" s="2" t="str">
        <f aca="false">IF(C324&gt;CRM_Dashboard!$B$3,"Future-dated",IF(AND(B324=B323,C324&lt;C323),"Date out of sequence",IF(AND(G324&lt;&gt;"",G324&lt;=C324),"Follow-up not after interaction","")))</f>
        <v>Date out of sequence</v>
      </c>
    </row>
    <row r="325" customFormat="false" ht="15" hidden="false" customHeight="false" outlineLevel="0" collapsed="false">
      <c r="A325" s="2" t="s">
        <v>1504</v>
      </c>
      <c r="B325" s="2" t="s">
        <v>533</v>
      </c>
      <c r="C325" s="4" t="n">
        <v>46281</v>
      </c>
      <c r="D325" s="2" t="s">
        <v>1161</v>
      </c>
      <c r="E325" s="2" t="s">
        <v>1162</v>
      </c>
      <c r="F325" s="2"/>
      <c r="G325" s="4"/>
      <c r="H325" s="2" t="str">
        <f aca="false">IF(C325&gt;CRM_Dashboard!$B$3,"Future-dated",IF(AND(B325=B324,C325&lt;C324),"Date out of sequence",IF(AND(G325&lt;&gt;"",G325&lt;=C325),"Follow-up not after interaction","")))</f>
        <v/>
      </c>
    </row>
    <row r="326" customFormat="false" ht="15" hidden="false" customHeight="false" outlineLevel="0" collapsed="false">
      <c r="A326" s="2" t="s">
        <v>1505</v>
      </c>
      <c r="B326" s="2" t="s">
        <v>533</v>
      </c>
      <c r="C326" s="4" t="n">
        <v>46283</v>
      </c>
      <c r="D326" s="2" t="s">
        <v>1161</v>
      </c>
      <c r="E326" s="2" t="s">
        <v>1162</v>
      </c>
      <c r="F326" s="2"/>
      <c r="G326" s="4"/>
      <c r="H326" s="2" t="str">
        <f aca="false">IF(C326&gt;CRM_Dashboard!$B$3,"Future-dated",IF(AND(B326=B325,C326&lt;C325),"Date out of sequence",IF(AND(G326&lt;&gt;"",G326&lt;=C326),"Follow-up not after interaction","")))</f>
        <v/>
      </c>
    </row>
    <row r="327" customFormat="false" ht="15" hidden="false" customHeight="false" outlineLevel="0" collapsed="false">
      <c r="A327" s="2" t="s">
        <v>1506</v>
      </c>
      <c r="B327" s="2" t="s">
        <v>533</v>
      </c>
      <c r="C327" s="4" t="n">
        <v>46289</v>
      </c>
      <c r="D327" s="2" t="s">
        <v>1161</v>
      </c>
      <c r="E327" s="2" t="s">
        <v>1188</v>
      </c>
      <c r="F327" s="2"/>
      <c r="G327" s="4"/>
      <c r="H327" s="2" t="str">
        <f aca="false">IF(C327&gt;CRM_Dashboard!$B$3,"Future-dated",IF(AND(B327=B326,C327&lt;C326),"Date out of sequence",IF(AND(G327&lt;&gt;"",G327&lt;=C327),"Follow-up not after interaction","")))</f>
        <v/>
      </c>
    </row>
    <row r="328" customFormat="false" ht="15" hidden="false" customHeight="false" outlineLevel="0" collapsed="false">
      <c r="A328" s="2" t="s">
        <v>1507</v>
      </c>
      <c r="B328" s="2" t="s">
        <v>533</v>
      </c>
      <c r="C328" s="4" t="n">
        <v>46282</v>
      </c>
      <c r="D328" s="2" t="s">
        <v>1161</v>
      </c>
      <c r="E328" s="2" t="s">
        <v>1173</v>
      </c>
      <c r="F328" s="2" t="s">
        <v>1174</v>
      </c>
      <c r="G328" s="4" t="n">
        <v>46291</v>
      </c>
      <c r="H328" s="2" t="str">
        <f aca="false">IF(C328&gt;CRM_Dashboard!$B$3,"Future-dated",IF(AND(B328=B327,C328&lt;C327),"Date out of sequence",IF(AND(G328&lt;&gt;"",G328&lt;=C328),"Follow-up not after interaction","")))</f>
        <v>Date out of sequence</v>
      </c>
    </row>
    <row r="329" customFormat="false" ht="15" hidden="false" customHeight="false" outlineLevel="0" collapsed="false">
      <c r="A329" s="2" t="s">
        <v>1508</v>
      </c>
      <c r="B329" s="2" t="s">
        <v>537</v>
      </c>
      <c r="C329" s="4" t="n">
        <v>46279</v>
      </c>
      <c r="D329" s="2" t="s">
        <v>1161</v>
      </c>
      <c r="E329" s="2" t="s">
        <v>1176</v>
      </c>
      <c r="F329" s="2"/>
      <c r="G329" s="4"/>
      <c r="H329" s="2" t="str">
        <f aca="false">IF(C329&gt;CRM_Dashboard!$B$3,"Future-dated",IF(AND(B329=B328,C329&lt;C328),"Date out of sequence",IF(AND(G329&lt;&gt;"",G329&lt;=C329),"Follow-up not after interaction","")))</f>
        <v/>
      </c>
    </row>
    <row r="330" customFormat="false" ht="15" hidden="false" customHeight="false" outlineLevel="0" collapsed="false">
      <c r="A330" s="2" t="s">
        <v>1509</v>
      </c>
      <c r="B330" s="2" t="s">
        <v>537</v>
      </c>
      <c r="C330" s="4" t="n">
        <v>46283</v>
      </c>
      <c r="D330" s="2" t="s">
        <v>1161</v>
      </c>
      <c r="E330" s="2" t="s">
        <v>1176</v>
      </c>
      <c r="F330" s="2" t="s">
        <v>1203</v>
      </c>
      <c r="G330" s="4" t="n">
        <v>46281</v>
      </c>
      <c r="H330" s="2" t="str">
        <f aca="false">IF(C330&gt;CRM_Dashboard!$B$3,"Future-dated",IF(AND(B330=B329,C330&lt;C329),"Date out of sequence",IF(AND(G330&lt;&gt;"",G330&lt;=C330),"Follow-up not after interaction","")))</f>
        <v>Follow-up not after interaction</v>
      </c>
    </row>
    <row r="331" customFormat="false" ht="15" hidden="false" customHeight="false" outlineLevel="0" collapsed="false">
      <c r="A331" s="2" t="s">
        <v>1510</v>
      </c>
      <c r="B331" s="2" t="s">
        <v>541</v>
      </c>
      <c r="C331" s="4" t="n">
        <v>46221</v>
      </c>
      <c r="D331" s="2" t="s">
        <v>1161</v>
      </c>
      <c r="E331" s="2" t="s">
        <v>1188</v>
      </c>
      <c r="F331" s="2"/>
      <c r="G331" s="4"/>
      <c r="H331" s="2" t="str">
        <f aca="false">IF(C331&gt;CRM_Dashboard!$B$3,"Future-dated",IF(AND(B331=B330,C331&lt;C330),"Date out of sequence",IF(AND(G331&lt;&gt;"",G331&lt;=C331),"Follow-up not after interaction","")))</f>
        <v/>
      </c>
    </row>
    <row r="332" customFormat="false" ht="15" hidden="false" customHeight="false" outlineLevel="0" collapsed="false">
      <c r="A332" s="2" t="s">
        <v>1511</v>
      </c>
      <c r="B332" s="2" t="s">
        <v>541</v>
      </c>
      <c r="C332" s="4" t="n">
        <v>46223</v>
      </c>
      <c r="D332" s="2" t="s">
        <v>1161</v>
      </c>
      <c r="E332" s="2" t="s">
        <v>1188</v>
      </c>
      <c r="F332" s="2"/>
      <c r="G332" s="4"/>
      <c r="H332" s="2" t="str">
        <f aca="false">IF(C332&gt;CRM_Dashboard!$B$3,"Future-dated",IF(AND(B332=B331,C332&lt;C331),"Date out of sequence",IF(AND(G332&lt;&gt;"",G332&lt;=C332),"Follow-up not after interaction","")))</f>
        <v/>
      </c>
    </row>
    <row r="333" customFormat="false" ht="15" hidden="false" customHeight="false" outlineLevel="0" collapsed="false">
      <c r="A333" s="2" t="s">
        <v>1512</v>
      </c>
      <c r="B333" s="2" t="s">
        <v>541</v>
      </c>
      <c r="C333" s="4" t="n">
        <v>46220</v>
      </c>
      <c r="D333" s="2" t="s">
        <v>1161</v>
      </c>
      <c r="E333" s="2" t="s">
        <v>1162</v>
      </c>
      <c r="F333" s="2" t="s">
        <v>1174</v>
      </c>
      <c r="G333" s="4"/>
      <c r="H333" s="2" t="str">
        <f aca="false">IF(C333&gt;CRM_Dashboard!$B$3,"Future-dated",IF(AND(B333=B332,C333&lt;C332),"Date out of sequence",IF(AND(G333&lt;&gt;"",G333&lt;=C333),"Follow-up not after interaction","")))</f>
        <v>Date out of sequence</v>
      </c>
    </row>
    <row r="334" customFormat="false" ht="15" hidden="false" customHeight="false" outlineLevel="0" collapsed="false">
      <c r="A334" s="2" t="s">
        <v>1513</v>
      </c>
      <c r="B334" s="2" t="s">
        <v>545</v>
      </c>
      <c r="C334" s="4" t="n">
        <v>46262</v>
      </c>
      <c r="D334" s="2" t="s">
        <v>1161</v>
      </c>
      <c r="E334" s="2" t="s">
        <v>1252</v>
      </c>
      <c r="F334" s="2" t="s">
        <v>1195</v>
      </c>
      <c r="G334" s="4"/>
      <c r="H334" s="2" t="str">
        <f aca="false">IF(C334&gt;CRM_Dashboard!$B$3,"Future-dated",IF(AND(B334=B333,C334&lt;C333),"Date out of sequence",IF(AND(G334&lt;&gt;"",G334&lt;=C334),"Follow-up not after interaction","")))</f>
        <v/>
      </c>
    </row>
    <row r="335" customFormat="false" ht="15" hidden="false" customHeight="false" outlineLevel="0" collapsed="false">
      <c r="A335" s="2" t="s">
        <v>1514</v>
      </c>
      <c r="B335" s="2" t="s">
        <v>549</v>
      </c>
      <c r="C335" s="4" t="n">
        <v>46227</v>
      </c>
      <c r="D335" s="2" t="s">
        <v>1161</v>
      </c>
      <c r="E335" s="2" t="s">
        <v>1252</v>
      </c>
      <c r="F335" s="2"/>
      <c r="G335" s="4"/>
      <c r="H335" s="2" t="str">
        <f aca="false">IF(C335&gt;CRM_Dashboard!$B$3,"Future-dated",IF(AND(B335=B334,C335&lt;C334),"Date out of sequence",IF(AND(G335&lt;&gt;"",G335&lt;=C335),"Follow-up not after interaction","")))</f>
        <v/>
      </c>
    </row>
    <row r="336" customFormat="false" ht="15" hidden="false" customHeight="false" outlineLevel="0" collapsed="false">
      <c r="A336" s="2" t="s">
        <v>1515</v>
      </c>
      <c r="B336" s="2" t="s">
        <v>549</v>
      </c>
      <c r="C336" s="4" t="n">
        <v>46227</v>
      </c>
      <c r="D336" s="2" t="s">
        <v>1161</v>
      </c>
      <c r="E336" s="2" t="s">
        <v>1176</v>
      </c>
      <c r="F336" s="2" t="s">
        <v>1183</v>
      </c>
      <c r="G336" s="4" t="n">
        <v>46228</v>
      </c>
      <c r="H336" s="2" t="str">
        <f aca="false">IF(C336&gt;CRM_Dashboard!$B$3,"Future-dated",IF(AND(B336=B335,C336&lt;C335),"Date out of sequence",IF(AND(G336&lt;&gt;"",G336&lt;=C336),"Follow-up not after interaction","")))</f>
        <v/>
      </c>
    </row>
    <row r="337" customFormat="false" ht="15" hidden="false" customHeight="false" outlineLevel="0" collapsed="false">
      <c r="A337" s="2" t="s">
        <v>1516</v>
      </c>
      <c r="B337" s="2" t="s">
        <v>553</v>
      </c>
      <c r="C337" s="4" t="n">
        <v>46277</v>
      </c>
      <c r="D337" s="2" t="s">
        <v>1161</v>
      </c>
      <c r="E337" s="2" t="s">
        <v>1167</v>
      </c>
      <c r="F337" s="2"/>
      <c r="G337" s="4"/>
      <c r="H337" s="2" t="str">
        <f aca="false">IF(C337&gt;CRM_Dashboard!$B$3,"Future-dated",IF(AND(B337=B336,C337&lt;C336),"Date out of sequence",IF(AND(G337&lt;&gt;"",G337&lt;=C337),"Follow-up not after interaction","")))</f>
        <v/>
      </c>
    </row>
    <row r="338" customFormat="false" ht="15" hidden="false" customHeight="false" outlineLevel="0" collapsed="false">
      <c r="A338" s="2" t="s">
        <v>1517</v>
      </c>
      <c r="B338" s="2" t="s">
        <v>553</v>
      </c>
      <c r="C338" s="4" t="n">
        <v>46280</v>
      </c>
      <c r="D338" s="2" t="s">
        <v>1161</v>
      </c>
      <c r="E338" s="2" t="s">
        <v>1162</v>
      </c>
      <c r="F338" s="2" t="s">
        <v>1165</v>
      </c>
      <c r="G338" s="4"/>
      <c r="H338" s="2" t="str">
        <f aca="false">IF(C338&gt;CRM_Dashboard!$B$3,"Future-dated",IF(AND(B338=B337,C338&lt;C337),"Date out of sequence",IF(AND(G338&lt;&gt;"",G338&lt;=C338),"Follow-up not after interaction","")))</f>
        <v/>
      </c>
    </row>
    <row r="339" customFormat="false" ht="15" hidden="false" customHeight="false" outlineLevel="0" collapsed="false">
      <c r="A339" s="2" t="s">
        <v>1518</v>
      </c>
      <c r="B339" s="2" t="s">
        <v>556</v>
      </c>
      <c r="C339" s="4" t="n">
        <v>46286</v>
      </c>
      <c r="D339" s="2" t="s">
        <v>1161</v>
      </c>
      <c r="E339" s="2" t="s">
        <v>1176</v>
      </c>
      <c r="F339" s="2" t="s">
        <v>1203</v>
      </c>
      <c r="G339" s="4" t="n">
        <v>46292</v>
      </c>
      <c r="H339" s="2" t="str">
        <f aca="false">IF(C339&gt;CRM_Dashboard!$B$3,"Future-dated",IF(AND(B339=B338,C339&lt;C338),"Date out of sequence",IF(AND(G339&lt;&gt;"",G339&lt;=C339),"Follow-up not after interaction","")))</f>
        <v/>
      </c>
    </row>
    <row r="340" customFormat="false" ht="15" hidden="false" customHeight="false" outlineLevel="0" collapsed="false">
      <c r="A340" s="2" t="s">
        <v>1519</v>
      </c>
      <c r="B340" s="2" t="s">
        <v>560</v>
      </c>
      <c r="C340" s="4" t="n">
        <v>46214</v>
      </c>
      <c r="D340" s="2" t="s">
        <v>1161</v>
      </c>
      <c r="E340" s="2" t="s">
        <v>1176</v>
      </c>
      <c r="F340" s="2" t="s">
        <v>1165</v>
      </c>
      <c r="G340" s="4" t="n">
        <v>46214</v>
      </c>
      <c r="H340" s="2" t="str">
        <f aca="false">IF(C340&gt;CRM_Dashboard!$B$3,"Future-dated",IF(AND(B340=B339,C340&lt;C339),"Date out of sequence",IF(AND(G340&lt;&gt;"",G340&lt;=C340),"Follow-up not after interaction","")))</f>
        <v>Follow-up not after interaction</v>
      </c>
    </row>
    <row r="341" customFormat="false" ht="15" hidden="false" customHeight="false" outlineLevel="0" collapsed="false">
      <c r="A341" s="2" t="s">
        <v>1520</v>
      </c>
      <c r="B341" s="2" t="s">
        <v>564</v>
      </c>
      <c r="C341" s="4" t="n">
        <v>46286</v>
      </c>
      <c r="D341" s="2" t="s">
        <v>1161</v>
      </c>
      <c r="E341" s="2" t="s">
        <v>1162</v>
      </c>
      <c r="F341" s="2"/>
      <c r="G341" s="4"/>
      <c r="H341" s="2" t="str">
        <f aca="false">IF(C341&gt;CRM_Dashboard!$B$3,"Future-dated",IF(AND(B341=B340,C341&lt;C340),"Date out of sequence",IF(AND(G341&lt;&gt;"",G341&lt;=C341),"Follow-up not after interaction","")))</f>
        <v/>
      </c>
    </row>
    <row r="342" customFormat="false" ht="15" hidden="false" customHeight="false" outlineLevel="0" collapsed="false">
      <c r="A342" s="2" t="s">
        <v>1521</v>
      </c>
      <c r="B342" s="2" t="s">
        <v>564</v>
      </c>
      <c r="C342" s="4" t="n">
        <v>46289</v>
      </c>
      <c r="D342" s="2" t="s">
        <v>1161</v>
      </c>
      <c r="E342" s="2" t="s">
        <v>1173</v>
      </c>
      <c r="F342" s="2"/>
      <c r="G342" s="4"/>
      <c r="H342" s="2" t="str">
        <f aca="false">IF(C342&gt;CRM_Dashboard!$B$3,"Future-dated",IF(AND(B342=B341,C342&lt;C341),"Date out of sequence",IF(AND(G342&lt;&gt;"",G342&lt;=C342),"Follow-up not after interaction","")))</f>
        <v/>
      </c>
    </row>
    <row r="343" customFormat="false" ht="15" hidden="false" customHeight="false" outlineLevel="0" collapsed="false">
      <c r="A343" s="2" t="s">
        <v>1522</v>
      </c>
      <c r="B343" s="2" t="s">
        <v>564</v>
      </c>
      <c r="C343" s="4" t="n">
        <v>46288</v>
      </c>
      <c r="D343" s="2" t="s">
        <v>1161</v>
      </c>
      <c r="E343" s="2" t="s">
        <v>1176</v>
      </c>
      <c r="F343" s="2" t="s">
        <v>1183</v>
      </c>
      <c r="G343" s="4" t="n">
        <v>46288</v>
      </c>
      <c r="H343" s="2" t="str">
        <f aca="false">IF(C343&gt;CRM_Dashboard!$B$3,"Future-dated",IF(AND(B343=B342,C343&lt;C342),"Date out of sequence",IF(AND(G343&lt;&gt;"",G343&lt;=C343),"Follow-up not after interaction","")))</f>
        <v>Date out of sequence</v>
      </c>
    </row>
    <row r="344" customFormat="false" ht="15" hidden="false" customHeight="false" outlineLevel="0" collapsed="false">
      <c r="A344" s="2" t="s">
        <v>1523</v>
      </c>
      <c r="B344" s="2" t="s">
        <v>568</v>
      </c>
      <c r="C344" s="4" t="n">
        <v>46277</v>
      </c>
      <c r="D344" s="2" t="s">
        <v>1161</v>
      </c>
      <c r="E344" s="2" t="s">
        <v>1185</v>
      </c>
      <c r="F344" s="2" t="s">
        <v>1203</v>
      </c>
      <c r="G344" s="4"/>
      <c r="H344" s="2" t="str">
        <f aca="false">IF(C344&gt;CRM_Dashboard!$B$3,"Future-dated",IF(AND(B344=B343,C344&lt;C343),"Date out of sequence",IF(AND(G344&lt;&gt;"",G344&lt;=C344),"Follow-up not after interaction","")))</f>
        <v/>
      </c>
    </row>
    <row r="345" customFormat="false" ht="15" hidden="false" customHeight="false" outlineLevel="0" collapsed="false">
      <c r="A345" s="2" t="s">
        <v>1524</v>
      </c>
      <c r="B345" s="2" t="s">
        <v>571</v>
      </c>
      <c r="C345" s="4" t="n">
        <v>46210</v>
      </c>
      <c r="D345" s="2" t="s">
        <v>1161</v>
      </c>
      <c r="E345" s="2" t="s">
        <v>1179</v>
      </c>
      <c r="F345" s="2"/>
      <c r="G345" s="4"/>
      <c r="H345" s="2" t="str">
        <f aca="false">IF(C345&gt;CRM_Dashboard!$B$3,"Future-dated",IF(AND(B345=B344,C345&lt;C344),"Date out of sequence",IF(AND(G345&lt;&gt;"",G345&lt;=C345),"Follow-up not after interaction","")))</f>
        <v/>
      </c>
    </row>
    <row r="346" customFormat="false" ht="15" hidden="false" customHeight="false" outlineLevel="0" collapsed="false">
      <c r="A346" s="2" t="s">
        <v>1525</v>
      </c>
      <c r="B346" s="2" t="s">
        <v>571</v>
      </c>
      <c r="C346" s="4" t="n">
        <v>46213</v>
      </c>
      <c r="D346" s="2" t="s">
        <v>1161</v>
      </c>
      <c r="E346" s="2" t="s">
        <v>1176</v>
      </c>
      <c r="F346" s="2"/>
      <c r="G346" s="4"/>
      <c r="H346" s="2" t="str">
        <f aca="false">IF(C346&gt;CRM_Dashboard!$B$3,"Future-dated",IF(AND(B346=B345,C346&lt;C345),"Date out of sequence",IF(AND(G346&lt;&gt;"",G346&lt;=C346),"Follow-up not after interaction","")))</f>
        <v/>
      </c>
    </row>
    <row r="347" customFormat="false" ht="15" hidden="false" customHeight="false" outlineLevel="0" collapsed="false">
      <c r="A347" s="2" t="s">
        <v>1526</v>
      </c>
      <c r="B347" s="2" t="s">
        <v>571</v>
      </c>
      <c r="C347" s="4" t="n">
        <v>46215</v>
      </c>
      <c r="D347" s="2" t="s">
        <v>1161</v>
      </c>
      <c r="E347" s="2" t="s">
        <v>1167</v>
      </c>
      <c r="F347" s="2"/>
      <c r="G347" s="4"/>
      <c r="H347" s="2" t="str">
        <f aca="false">IF(C347&gt;CRM_Dashboard!$B$3,"Future-dated",IF(AND(B347=B346,C347&lt;C346),"Date out of sequence",IF(AND(G347&lt;&gt;"",G347&lt;=C347),"Follow-up not after interaction","")))</f>
        <v/>
      </c>
    </row>
    <row r="348" customFormat="false" ht="15" hidden="false" customHeight="false" outlineLevel="0" collapsed="false">
      <c r="A348" s="2" t="s">
        <v>1527</v>
      </c>
      <c r="B348" s="2" t="s">
        <v>571</v>
      </c>
      <c r="C348" s="4" t="n">
        <v>46211</v>
      </c>
      <c r="D348" s="2" t="s">
        <v>1161</v>
      </c>
      <c r="E348" s="2" t="s">
        <v>1173</v>
      </c>
      <c r="F348" s="2" t="s">
        <v>1203</v>
      </c>
      <c r="G348" s="4" t="n">
        <v>46214</v>
      </c>
      <c r="H348" s="2" t="str">
        <f aca="false">IF(C348&gt;CRM_Dashboard!$B$3,"Future-dated",IF(AND(B348=B347,C348&lt;C347),"Date out of sequence",IF(AND(G348&lt;&gt;"",G348&lt;=C348),"Follow-up not after interaction","")))</f>
        <v>Date out of sequence</v>
      </c>
    </row>
    <row r="349" customFormat="false" ht="15" hidden="false" customHeight="false" outlineLevel="0" collapsed="false">
      <c r="A349" s="2" t="s">
        <v>1528</v>
      </c>
      <c r="B349" s="2" t="s">
        <v>574</v>
      </c>
      <c r="C349" s="4" t="n">
        <v>46231</v>
      </c>
      <c r="D349" s="2" t="s">
        <v>1161</v>
      </c>
      <c r="E349" s="2" t="s">
        <v>1167</v>
      </c>
      <c r="F349" s="2"/>
      <c r="G349" s="4"/>
      <c r="H349" s="2" t="str">
        <f aca="false">IF(C349&gt;CRM_Dashboard!$B$3,"Future-dated",IF(AND(B349=B348,C349&lt;C348),"Date out of sequence",IF(AND(G349&lt;&gt;"",G349&lt;=C349),"Follow-up not after interaction","")))</f>
        <v/>
      </c>
    </row>
    <row r="350" customFormat="false" ht="15" hidden="false" customHeight="false" outlineLevel="0" collapsed="false">
      <c r="A350" s="2" t="s">
        <v>1529</v>
      </c>
      <c r="B350" s="2" t="s">
        <v>574</v>
      </c>
      <c r="C350" s="4" t="n">
        <v>46232</v>
      </c>
      <c r="D350" s="2" t="s">
        <v>1161</v>
      </c>
      <c r="E350" s="2" t="s">
        <v>1173</v>
      </c>
      <c r="F350" s="2"/>
      <c r="G350" s="4"/>
      <c r="H350" s="2" t="str">
        <f aca="false">IF(C350&gt;CRM_Dashboard!$B$3,"Future-dated",IF(AND(B350=B349,C350&lt;C349),"Date out of sequence",IF(AND(G350&lt;&gt;"",G350&lt;=C350),"Follow-up not after interaction","")))</f>
        <v/>
      </c>
    </row>
    <row r="351" customFormat="false" ht="15" hidden="false" customHeight="false" outlineLevel="0" collapsed="false">
      <c r="A351" s="2" t="s">
        <v>1530</v>
      </c>
      <c r="B351" s="2" t="s">
        <v>574</v>
      </c>
      <c r="C351" s="4" t="n">
        <v>46235</v>
      </c>
      <c r="D351" s="2" t="s">
        <v>1161</v>
      </c>
      <c r="E351" s="2" t="s">
        <v>1188</v>
      </c>
      <c r="F351" s="2" t="s">
        <v>1165</v>
      </c>
      <c r="G351" s="4"/>
      <c r="H351" s="2" t="str">
        <f aca="false">IF(C351&gt;CRM_Dashboard!$B$3,"Future-dated",IF(AND(B351=B350,C351&lt;C350),"Date out of sequence",IF(AND(G351&lt;&gt;"",G351&lt;=C351),"Follow-up not after interaction","")))</f>
        <v/>
      </c>
    </row>
    <row r="352" customFormat="false" ht="15" hidden="false" customHeight="false" outlineLevel="0" collapsed="false">
      <c r="A352" s="2" t="s">
        <v>1531</v>
      </c>
      <c r="B352" s="2" t="s">
        <v>578</v>
      </c>
      <c r="C352" s="4" t="n">
        <v>46263</v>
      </c>
      <c r="D352" s="2" t="s">
        <v>1161</v>
      </c>
      <c r="E352" s="2" t="s">
        <v>1162</v>
      </c>
      <c r="F352" s="2" t="s">
        <v>1203</v>
      </c>
      <c r="G352" s="4"/>
      <c r="H352" s="2" t="str">
        <f aca="false">IF(C352&gt;CRM_Dashboard!$B$3,"Future-dated",IF(AND(B352=B351,C352&lt;C351),"Date out of sequence",IF(AND(G352&lt;&gt;"",G352&lt;=C352),"Follow-up not after interaction","")))</f>
        <v/>
      </c>
    </row>
    <row r="353" customFormat="false" ht="15" hidden="false" customHeight="false" outlineLevel="0" collapsed="false">
      <c r="A353" s="2" t="s">
        <v>1532</v>
      </c>
      <c r="B353" s="2" t="s">
        <v>582</v>
      </c>
      <c r="C353" s="4" t="n">
        <v>46228</v>
      </c>
      <c r="D353" s="2" t="s">
        <v>1161</v>
      </c>
      <c r="E353" s="2" t="s">
        <v>1185</v>
      </c>
      <c r="F353" s="2"/>
      <c r="G353" s="4"/>
      <c r="H353" s="2" t="str">
        <f aca="false">IF(C353&gt;CRM_Dashboard!$B$3,"Future-dated",IF(AND(B353=B352,C353&lt;C352),"Date out of sequence",IF(AND(G353&lt;&gt;"",G353&lt;=C353),"Follow-up not after interaction","")))</f>
        <v/>
      </c>
    </row>
    <row r="354" customFormat="false" ht="15" hidden="false" customHeight="false" outlineLevel="0" collapsed="false">
      <c r="A354" s="2" t="s">
        <v>1533</v>
      </c>
      <c r="B354" s="2" t="s">
        <v>582</v>
      </c>
      <c r="C354" s="4" t="n">
        <v>46230</v>
      </c>
      <c r="D354" s="2" t="s">
        <v>1161</v>
      </c>
      <c r="E354" s="2" t="s">
        <v>1188</v>
      </c>
      <c r="F354" s="2"/>
      <c r="G354" s="4"/>
      <c r="H354" s="2" t="str">
        <f aca="false">IF(C354&gt;CRM_Dashboard!$B$3,"Future-dated",IF(AND(B354=B353,C354&lt;C353),"Date out of sequence",IF(AND(G354&lt;&gt;"",G354&lt;=C354),"Follow-up not after interaction","")))</f>
        <v/>
      </c>
    </row>
    <row r="355" customFormat="false" ht="15" hidden="false" customHeight="false" outlineLevel="0" collapsed="false">
      <c r="A355" s="2" t="s">
        <v>1534</v>
      </c>
      <c r="B355" s="2" t="s">
        <v>582</v>
      </c>
      <c r="C355" s="4" t="n">
        <v>46232</v>
      </c>
      <c r="D355" s="2" t="s">
        <v>1161</v>
      </c>
      <c r="E355" s="2" t="s">
        <v>1162</v>
      </c>
      <c r="F355" s="2" t="s">
        <v>1165</v>
      </c>
      <c r="G355" s="4"/>
      <c r="H355" s="2" t="str">
        <f aca="false">IF(C355&gt;CRM_Dashboard!$B$3,"Future-dated",IF(AND(B355=B354,C355&lt;C354),"Date out of sequence",IF(AND(G355&lt;&gt;"",G355&lt;=C355),"Follow-up not after interaction","")))</f>
        <v/>
      </c>
    </row>
    <row r="356" customFormat="false" ht="15" hidden="false" customHeight="false" outlineLevel="0" collapsed="false">
      <c r="A356" s="2" t="s">
        <v>1535</v>
      </c>
      <c r="B356" s="2" t="s">
        <v>585</v>
      </c>
      <c r="C356" s="4" t="n">
        <v>46263</v>
      </c>
      <c r="D356" s="2" t="s">
        <v>1161</v>
      </c>
      <c r="E356" s="2" t="s">
        <v>1162</v>
      </c>
      <c r="F356" s="2"/>
      <c r="G356" s="4"/>
      <c r="H356" s="2" t="str">
        <f aca="false">IF(C356&gt;CRM_Dashboard!$B$3,"Future-dated",IF(AND(B356=B355,C356&lt;C355),"Date out of sequence",IF(AND(G356&lt;&gt;"",G356&lt;=C356),"Follow-up not after interaction","")))</f>
        <v/>
      </c>
    </row>
    <row r="357" customFormat="false" ht="15" hidden="false" customHeight="false" outlineLevel="0" collapsed="false">
      <c r="A357" s="2" t="s">
        <v>1536</v>
      </c>
      <c r="B357" s="2" t="s">
        <v>585</v>
      </c>
      <c r="C357" s="4" t="n">
        <v>46262</v>
      </c>
      <c r="D357" s="2" t="s">
        <v>1161</v>
      </c>
      <c r="E357" s="2" t="s">
        <v>1185</v>
      </c>
      <c r="F357" s="2" t="s">
        <v>1209</v>
      </c>
      <c r="G357" s="4"/>
      <c r="H357" s="2" t="str">
        <f aca="false">IF(C357&gt;CRM_Dashboard!$B$3,"Future-dated",IF(AND(B357=B356,C357&lt;C356),"Date out of sequence",IF(AND(G357&lt;&gt;"",G357&lt;=C357),"Follow-up not after interaction","")))</f>
        <v>Date out of sequence</v>
      </c>
    </row>
    <row r="358" customFormat="false" ht="15" hidden="false" customHeight="false" outlineLevel="0" collapsed="false">
      <c r="A358" s="2" t="s">
        <v>1537</v>
      </c>
      <c r="B358" s="2" t="s">
        <v>589</v>
      </c>
      <c r="C358" s="4" t="n">
        <v>46259</v>
      </c>
      <c r="D358" s="2" t="s">
        <v>1161</v>
      </c>
      <c r="E358" s="2" t="s">
        <v>1179</v>
      </c>
      <c r="F358" s="2"/>
      <c r="G358" s="4"/>
      <c r="H358" s="2" t="str">
        <f aca="false">IF(C358&gt;CRM_Dashboard!$B$3,"Future-dated",IF(AND(B358=B357,C358&lt;C357),"Date out of sequence",IF(AND(G358&lt;&gt;"",G358&lt;=C358),"Follow-up not after interaction","")))</f>
        <v/>
      </c>
    </row>
    <row r="359" customFormat="false" ht="15" hidden="false" customHeight="false" outlineLevel="0" collapsed="false">
      <c r="A359" s="2" t="s">
        <v>1538</v>
      </c>
      <c r="B359" s="2" t="s">
        <v>589</v>
      </c>
      <c r="C359" s="4" t="n">
        <v>46259</v>
      </c>
      <c r="D359" s="2" t="s">
        <v>1161</v>
      </c>
      <c r="E359" s="2" t="s">
        <v>1188</v>
      </c>
      <c r="F359" s="2" t="s">
        <v>1177</v>
      </c>
      <c r="G359" s="4"/>
      <c r="H359" s="2" t="str">
        <f aca="false">IF(C359&gt;CRM_Dashboard!$B$3,"Future-dated",IF(AND(B359=B358,C359&lt;C358),"Date out of sequence",IF(AND(G359&lt;&gt;"",G359&lt;=C359),"Follow-up not after interaction","")))</f>
        <v/>
      </c>
    </row>
    <row r="360" customFormat="false" ht="15" hidden="false" customHeight="false" outlineLevel="0" collapsed="false">
      <c r="A360" s="2" t="s">
        <v>1539</v>
      </c>
      <c r="B360" s="2" t="s">
        <v>593</v>
      </c>
      <c r="C360" s="4" t="n">
        <v>46244</v>
      </c>
      <c r="D360" s="2" t="s">
        <v>1161</v>
      </c>
      <c r="E360" s="2" t="s">
        <v>1176</v>
      </c>
      <c r="F360" s="2" t="s">
        <v>1203</v>
      </c>
      <c r="G360" s="4" t="n">
        <v>46249</v>
      </c>
      <c r="H360" s="2" t="str">
        <f aca="false">IF(C360&gt;CRM_Dashboard!$B$3,"Future-dated",IF(AND(B360=B359,C360&lt;C359),"Date out of sequence",IF(AND(G360&lt;&gt;"",G360&lt;=C360),"Follow-up not after interaction","")))</f>
        <v/>
      </c>
    </row>
    <row r="361" customFormat="false" ht="15" hidden="false" customHeight="false" outlineLevel="0" collapsed="false">
      <c r="A361" s="2" t="s">
        <v>1540</v>
      </c>
      <c r="B361" s="2" t="s">
        <v>597</v>
      </c>
      <c r="C361" s="4" t="n">
        <v>46251</v>
      </c>
      <c r="D361" s="2" t="s">
        <v>1161</v>
      </c>
      <c r="E361" s="2" t="s">
        <v>1188</v>
      </c>
      <c r="F361" s="2"/>
      <c r="G361" s="4"/>
      <c r="H361" s="2" t="str">
        <f aca="false">IF(C361&gt;CRM_Dashboard!$B$3,"Future-dated",IF(AND(B361=B360,C361&lt;C360),"Date out of sequence",IF(AND(G361&lt;&gt;"",G361&lt;=C361),"Follow-up not after interaction","")))</f>
        <v/>
      </c>
    </row>
    <row r="362" customFormat="false" ht="15" hidden="false" customHeight="false" outlineLevel="0" collapsed="false">
      <c r="A362" s="2" t="s">
        <v>1541</v>
      </c>
      <c r="B362" s="2" t="s">
        <v>597</v>
      </c>
      <c r="C362" s="4" t="n">
        <v>46250</v>
      </c>
      <c r="D362" s="2" t="s">
        <v>1161</v>
      </c>
      <c r="E362" s="2" t="s">
        <v>1162</v>
      </c>
      <c r="F362" s="2"/>
      <c r="G362" s="4"/>
      <c r="H362" s="2" t="str">
        <f aca="false">IF(C362&gt;CRM_Dashboard!$B$3,"Future-dated",IF(AND(B362=B361,C362&lt;C361),"Date out of sequence",IF(AND(G362&lt;&gt;"",G362&lt;=C362),"Follow-up not after interaction","")))</f>
        <v>Date out of sequence</v>
      </c>
    </row>
    <row r="363" customFormat="false" ht="15" hidden="false" customHeight="false" outlineLevel="0" collapsed="false">
      <c r="A363" s="2" t="s">
        <v>1542</v>
      </c>
      <c r="B363" s="2" t="s">
        <v>597</v>
      </c>
      <c r="C363" s="4" t="n">
        <v>46255</v>
      </c>
      <c r="D363" s="2" t="s">
        <v>1161</v>
      </c>
      <c r="E363" s="2" t="s">
        <v>1176</v>
      </c>
      <c r="F363" s="2" t="s">
        <v>1174</v>
      </c>
      <c r="G363" s="4" t="n">
        <v>46248</v>
      </c>
      <c r="H363" s="2" t="str">
        <f aca="false">IF(C363&gt;CRM_Dashboard!$B$3,"Future-dated",IF(AND(B363=B362,C363&lt;C362),"Date out of sequence",IF(AND(G363&lt;&gt;"",G363&lt;=C363),"Follow-up not after interaction","")))</f>
        <v>Follow-up not after interaction</v>
      </c>
    </row>
    <row r="364" customFormat="false" ht="15" hidden="false" customHeight="false" outlineLevel="0" collapsed="false">
      <c r="A364" s="2" t="s">
        <v>1543</v>
      </c>
      <c r="B364" s="2" t="s">
        <v>601</v>
      </c>
      <c r="C364" s="4" t="n">
        <v>46273</v>
      </c>
      <c r="D364" s="2" t="s">
        <v>1161</v>
      </c>
      <c r="E364" s="2" t="s">
        <v>1173</v>
      </c>
      <c r="F364" s="2"/>
      <c r="G364" s="4"/>
      <c r="H364" s="2" t="str">
        <f aca="false">IF(C364&gt;CRM_Dashboard!$B$3,"Future-dated",IF(AND(B364=B363,C364&lt;C363),"Date out of sequence",IF(AND(G364&lt;&gt;"",G364&lt;=C364),"Follow-up not after interaction","")))</f>
        <v/>
      </c>
    </row>
    <row r="365" customFormat="false" ht="15" hidden="false" customHeight="false" outlineLevel="0" collapsed="false">
      <c r="A365" s="2" t="s">
        <v>1544</v>
      </c>
      <c r="B365" s="2" t="s">
        <v>601</v>
      </c>
      <c r="C365" s="4" t="n">
        <v>46269</v>
      </c>
      <c r="D365" s="2" t="s">
        <v>1161</v>
      </c>
      <c r="E365" s="2" t="s">
        <v>1167</v>
      </c>
      <c r="F365" s="2" t="s">
        <v>1174</v>
      </c>
      <c r="G365" s="4" t="n">
        <v>46279</v>
      </c>
      <c r="H365" s="2" t="str">
        <f aca="false">IF(C365&gt;CRM_Dashboard!$B$3,"Future-dated",IF(AND(B365=B364,C365&lt;C364),"Date out of sequence",IF(AND(G365&lt;&gt;"",G365&lt;=C365),"Follow-up not after interaction","")))</f>
        <v>Date out of sequence</v>
      </c>
    </row>
    <row r="366" customFormat="false" ht="15" hidden="false" customHeight="false" outlineLevel="0" collapsed="false">
      <c r="A366" s="2" t="s">
        <v>1545</v>
      </c>
      <c r="B366" s="2" t="s">
        <v>604</v>
      </c>
      <c r="C366" s="4" t="n">
        <v>46244</v>
      </c>
      <c r="D366" s="2" t="s">
        <v>1161</v>
      </c>
      <c r="E366" s="2" t="s">
        <v>1252</v>
      </c>
      <c r="F366" s="2"/>
      <c r="G366" s="4"/>
      <c r="H366" s="2" t="str">
        <f aca="false">IF(C366&gt;CRM_Dashboard!$B$3,"Future-dated",IF(AND(B366=B365,C366&lt;C365),"Date out of sequence",IF(AND(G366&lt;&gt;"",G366&lt;=C366),"Follow-up not after interaction","")))</f>
        <v/>
      </c>
    </row>
    <row r="367" customFormat="false" ht="15" hidden="false" customHeight="false" outlineLevel="0" collapsed="false">
      <c r="A367" s="2" t="s">
        <v>1546</v>
      </c>
      <c r="B367" s="2" t="s">
        <v>604</v>
      </c>
      <c r="C367" s="4" t="n">
        <v>46243</v>
      </c>
      <c r="D367" s="2" t="s">
        <v>1161</v>
      </c>
      <c r="E367" s="2" t="s">
        <v>1173</v>
      </c>
      <c r="F367" s="2"/>
      <c r="G367" s="4"/>
      <c r="H367" s="2" t="str">
        <f aca="false">IF(C367&gt;CRM_Dashboard!$B$3,"Future-dated",IF(AND(B367=B366,C367&lt;C366),"Date out of sequence",IF(AND(G367&lt;&gt;"",G367&lt;=C367),"Follow-up not after interaction","")))</f>
        <v>Date out of sequence</v>
      </c>
    </row>
    <row r="368" customFormat="false" ht="15" hidden="false" customHeight="false" outlineLevel="0" collapsed="false">
      <c r="A368" s="2" t="s">
        <v>1547</v>
      </c>
      <c r="B368" s="2" t="s">
        <v>604</v>
      </c>
      <c r="C368" s="4" t="n">
        <v>46247</v>
      </c>
      <c r="D368" s="2" t="s">
        <v>1161</v>
      </c>
      <c r="E368" s="2" t="s">
        <v>1167</v>
      </c>
      <c r="F368" s="2"/>
      <c r="G368" s="4"/>
      <c r="H368" s="2" t="str">
        <f aca="false">IF(C368&gt;CRM_Dashboard!$B$3,"Future-dated",IF(AND(B368=B367,C368&lt;C367),"Date out of sequence",IF(AND(G368&lt;&gt;"",G368&lt;=C368),"Follow-up not after interaction","")))</f>
        <v/>
      </c>
    </row>
    <row r="369" customFormat="false" ht="15" hidden="false" customHeight="false" outlineLevel="0" collapsed="false">
      <c r="A369" s="2" t="s">
        <v>1548</v>
      </c>
      <c r="B369" s="2" t="s">
        <v>604</v>
      </c>
      <c r="C369" s="4" t="n">
        <v>46245</v>
      </c>
      <c r="D369" s="2" t="s">
        <v>1161</v>
      </c>
      <c r="E369" s="2" t="s">
        <v>1171</v>
      </c>
      <c r="F369" s="2" t="s">
        <v>1195</v>
      </c>
      <c r="G369" s="4"/>
      <c r="H369" s="2" t="str">
        <f aca="false">IF(C369&gt;CRM_Dashboard!$B$3,"Future-dated",IF(AND(B369=B368,C369&lt;C368),"Date out of sequence",IF(AND(G369&lt;&gt;"",G369&lt;=C369),"Follow-up not after interaction","")))</f>
        <v>Date out of sequence</v>
      </c>
    </row>
    <row r="370" customFormat="false" ht="15" hidden="false" customHeight="false" outlineLevel="0" collapsed="false">
      <c r="A370" s="2" t="s">
        <v>1549</v>
      </c>
      <c r="B370" s="2" t="s">
        <v>608</v>
      </c>
      <c r="C370" s="4" t="n">
        <v>46281</v>
      </c>
      <c r="D370" s="2" t="s">
        <v>1161</v>
      </c>
      <c r="E370" s="2" t="s">
        <v>1188</v>
      </c>
      <c r="F370" s="2"/>
      <c r="G370" s="4"/>
      <c r="H370" s="2" t="str">
        <f aca="false">IF(C370&gt;CRM_Dashboard!$B$3,"Future-dated",IF(AND(B370=B369,C370&lt;C369),"Date out of sequence",IF(AND(G370&lt;&gt;"",G370&lt;=C370),"Follow-up not after interaction","")))</f>
        <v/>
      </c>
    </row>
    <row r="371" customFormat="false" ht="15" hidden="false" customHeight="false" outlineLevel="0" collapsed="false">
      <c r="A371" s="2" t="s">
        <v>1550</v>
      </c>
      <c r="B371" s="2" t="s">
        <v>608</v>
      </c>
      <c r="C371" s="4" t="n">
        <v>46283</v>
      </c>
      <c r="D371" s="2" t="s">
        <v>1161</v>
      </c>
      <c r="E371" s="2" t="s">
        <v>1167</v>
      </c>
      <c r="F371" s="2" t="s">
        <v>1165</v>
      </c>
      <c r="G371" s="4" t="n">
        <v>46288</v>
      </c>
      <c r="H371" s="2" t="str">
        <f aca="false">IF(C371&gt;CRM_Dashboard!$B$3,"Future-dated",IF(AND(B371=B370,C371&lt;C370),"Date out of sequence",IF(AND(G371&lt;&gt;"",G371&lt;=C371),"Follow-up not after interaction","")))</f>
        <v/>
      </c>
    </row>
    <row r="372" customFormat="false" ht="15" hidden="false" customHeight="false" outlineLevel="0" collapsed="false">
      <c r="A372" s="2" t="s">
        <v>1551</v>
      </c>
      <c r="B372" s="2" t="s">
        <v>612</v>
      </c>
      <c r="C372" s="4" t="n">
        <v>46264</v>
      </c>
      <c r="D372" s="2" t="s">
        <v>1161</v>
      </c>
      <c r="E372" s="2" t="s">
        <v>1176</v>
      </c>
      <c r="F372" s="2"/>
      <c r="G372" s="4"/>
      <c r="H372" s="2" t="str">
        <f aca="false">IF(C372&gt;CRM_Dashboard!$B$3,"Future-dated",IF(AND(B372=B371,C372&lt;C371),"Date out of sequence",IF(AND(G372&lt;&gt;"",G372&lt;=C372),"Follow-up not after interaction","")))</f>
        <v/>
      </c>
    </row>
    <row r="373" customFormat="false" ht="15" hidden="false" customHeight="false" outlineLevel="0" collapsed="false">
      <c r="A373" s="2" t="s">
        <v>1552</v>
      </c>
      <c r="B373" s="2" t="s">
        <v>612</v>
      </c>
      <c r="C373" s="4" t="n">
        <v>46261</v>
      </c>
      <c r="D373" s="2" t="s">
        <v>1161</v>
      </c>
      <c r="E373" s="2" t="s">
        <v>1176</v>
      </c>
      <c r="F373" s="2"/>
      <c r="G373" s="4"/>
      <c r="H373" s="2" t="str">
        <f aca="false">IF(C373&gt;CRM_Dashboard!$B$3,"Future-dated",IF(AND(B373=B372,C373&lt;C372),"Date out of sequence",IF(AND(G373&lt;&gt;"",G373&lt;=C373),"Follow-up not after interaction","")))</f>
        <v>Date out of sequence</v>
      </c>
    </row>
    <row r="374" customFormat="false" ht="15" hidden="false" customHeight="false" outlineLevel="0" collapsed="false">
      <c r="A374" s="2" t="s">
        <v>1553</v>
      </c>
      <c r="B374" s="2" t="s">
        <v>612</v>
      </c>
      <c r="C374" s="4" t="n">
        <v>46262</v>
      </c>
      <c r="D374" s="2" t="s">
        <v>1161</v>
      </c>
      <c r="E374" s="2" t="s">
        <v>1162</v>
      </c>
      <c r="F374" s="2" t="s">
        <v>1177</v>
      </c>
      <c r="G374" s="4"/>
      <c r="H374" s="2" t="str">
        <f aca="false">IF(C374&gt;CRM_Dashboard!$B$3,"Future-dated",IF(AND(B374=B373,C374&lt;C373),"Date out of sequence",IF(AND(G374&lt;&gt;"",G374&lt;=C374),"Follow-up not after interaction","")))</f>
        <v/>
      </c>
    </row>
    <row r="375" customFormat="false" ht="15" hidden="false" customHeight="false" outlineLevel="0" collapsed="false">
      <c r="A375" s="2" t="s">
        <v>1554</v>
      </c>
      <c r="B375" s="2" t="s">
        <v>616</v>
      </c>
      <c r="C375" s="4" t="n">
        <v>46289</v>
      </c>
      <c r="D375" s="2" t="s">
        <v>1161</v>
      </c>
      <c r="E375" s="2" t="s">
        <v>1176</v>
      </c>
      <c r="F375" s="2"/>
      <c r="G375" s="4"/>
      <c r="H375" s="2" t="str">
        <f aca="false">IF(C375&gt;CRM_Dashboard!$B$3,"Future-dated",IF(AND(B375=B374,C375&lt;C374),"Date out of sequence",IF(AND(G375&lt;&gt;"",G375&lt;=C375),"Follow-up not after interaction","")))</f>
        <v/>
      </c>
    </row>
    <row r="376" customFormat="false" ht="15" hidden="false" customHeight="false" outlineLevel="0" collapsed="false">
      <c r="A376" s="2" t="s">
        <v>1555</v>
      </c>
      <c r="B376" s="2" t="s">
        <v>616</v>
      </c>
      <c r="C376" s="4" t="n">
        <v>46289</v>
      </c>
      <c r="D376" s="2" t="s">
        <v>1161</v>
      </c>
      <c r="E376" s="2" t="s">
        <v>1173</v>
      </c>
      <c r="F376" s="2"/>
      <c r="G376" s="4"/>
      <c r="H376" s="2" t="str">
        <f aca="false">IF(C376&gt;CRM_Dashboard!$B$3,"Future-dated",IF(AND(B376=B375,C376&lt;C375),"Date out of sequence",IF(AND(G376&lt;&gt;"",G376&lt;=C376),"Follow-up not after interaction","")))</f>
        <v/>
      </c>
    </row>
    <row r="377" customFormat="false" ht="15" hidden="false" customHeight="false" outlineLevel="0" collapsed="false">
      <c r="A377" s="2" t="s">
        <v>1556</v>
      </c>
      <c r="B377" s="2" t="s">
        <v>616</v>
      </c>
      <c r="C377" s="4" t="n">
        <v>46292</v>
      </c>
      <c r="D377" s="2" t="s">
        <v>1161</v>
      </c>
      <c r="E377" s="2" t="s">
        <v>1162</v>
      </c>
      <c r="F377" s="2"/>
      <c r="G377" s="4"/>
      <c r="H377" s="2" t="str">
        <f aca="false">IF(C377&gt;CRM_Dashboard!$B$3,"Future-dated",IF(AND(B377=B376,C377&lt;C376),"Date out of sequence",IF(AND(G377&lt;&gt;"",G377&lt;=C377),"Follow-up not after interaction","")))</f>
        <v/>
      </c>
    </row>
    <row r="378" customFormat="false" ht="15" hidden="false" customHeight="false" outlineLevel="0" collapsed="false">
      <c r="A378" s="2" t="s">
        <v>1557</v>
      </c>
      <c r="B378" s="2" t="s">
        <v>616</v>
      </c>
      <c r="C378" s="4" t="n">
        <v>46291</v>
      </c>
      <c r="D378" s="2" t="s">
        <v>1161</v>
      </c>
      <c r="E378" s="2" t="s">
        <v>1185</v>
      </c>
      <c r="F378" s="2" t="s">
        <v>1177</v>
      </c>
      <c r="G378" s="4"/>
      <c r="H378" s="2" t="str">
        <f aca="false">IF(C378&gt;CRM_Dashboard!$B$3,"Future-dated",IF(AND(B378=B377,C378&lt;C377),"Date out of sequence",IF(AND(G378&lt;&gt;"",G378&lt;=C378),"Follow-up not after interaction","")))</f>
        <v>Date out of sequence</v>
      </c>
    </row>
    <row r="379" customFormat="false" ht="15" hidden="false" customHeight="false" outlineLevel="0" collapsed="false">
      <c r="A379" s="2" t="s">
        <v>1558</v>
      </c>
      <c r="B379" s="2" t="s">
        <v>619</v>
      </c>
      <c r="C379" s="4" t="n">
        <v>46275</v>
      </c>
      <c r="D379" s="2" t="s">
        <v>1161</v>
      </c>
      <c r="E379" s="2" t="s">
        <v>1162</v>
      </c>
      <c r="F379" s="2"/>
      <c r="G379" s="4"/>
      <c r="H379" s="2" t="str">
        <f aca="false">IF(C379&gt;CRM_Dashboard!$B$3,"Future-dated",IF(AND(B379=B378,C379&lt;C378),"Date out of sequence",IF(AND(G379&lt;&gt;"",G379&lt;=C379),"Follow-up not after interaction","")))</f>
        <v/>
      </c>
    </row>
    <row r="380" customFormat="false" ht="15" hidden="false" customHeight="false" outlineLevel="0" collapsed="false">
      <c r="A380" s="2" t="s">
        <v>1559</v>
      </c>
      <c r="B380" s="2" t="s">
        <v>619</v>
      </c>
      <c r="C380" s="4" t="n">
        <v>46276</v>
      </c>
      <c r="D380" s="2" t="s">
        <v>1161</v>
      </c>
      <c r="E380" s="2" t="s">
        <v>1171</v>
      </c>
      <c r="F380" s="2"/>
      <c r="G380" s="4"/>
      <c r="H380" s="2" t="str">
        <f aca="false">IF(C380&gt;CRM_Dashboard!$B$3,"Future-dated",IF(AND(B380=B379,C380&lt;C379),"Date out of sequence",IF(AND(G380&lt;&gt;"",G380&lt;=C380),"Follow-up not after interaction","")))</f>
        <v/>
      </c>
    </row>
    <row r="381" customFormat="false" ht="15" hidden="false" customHeight="false" outlineLevel="0" collapsed="false">
      <c r="A381" s="2" t="s">
        <v>1560</v>
      </c>
      <c r="B381" s="2" t="s">
        <v>619</v>
      </c>
      <c r="C381" s="4" t="n">
        <v>46275</v>
      </c>
      <c r="D381" s="2" t="s">
        <v>1161</v>
      </c>
      <c r="E381" s="2" t="s">
        <v>1173</v>
      </c>
      <c r="F381" s="2" t="s">
        <v>1195</v>
      </c>
      <c r="G381" s="4" t="n">
        <v>46279</v>
      </c>
      <c r="H381" s="2" t="str">
        <f aca="false">IF(C381&gt;CRM_Dashboard!$B$3,"Future-dated",IF(AND(B381=B380,C381&lt;C380),"Date out of sequence",IF(AND(G381&lt;&gt;"",G381&lt;=C381),"Follow-up not after interaction","")))</f>
        <v>Date out of sequence</v>
      </c>
    </row>
    <row r="382" customFormat="false" ht="15" hidden="false" customHeight="false" outlineLevel="0" collapsed="false">
      <c r="A382" s="2" t="s">
        <v>1561</v>
      </c>
      <c r="B382" s="2" t="s">
        <v>623</v>
      </c>
      <c r="C382" s="4" t="n">
        <v>46281</v>
      </c>
      <c r="D382" s="2" t="s">
        <v>1161</v>
      </c>
      <c r="E382" s="2" t="s">
        <v>1205</v>
      </c>
      <c r="F382" s="2"/>
      <c r="G382" s="4"/>
      <c r="H382" s="2" t="str">
        <f aca="false">IF(C382&gt;CRM_Dashboard!$B$3,"Future-dated",IF(AND(B382=B381,C382&lt;C381),"Date out of sequence",IF(AND(G382&lt;&gt;"",G382&lt;=C382),"Follow-up not after interaction","")))</f>
        <v/>
      </c>
    </row>
    <row r="383" customFormat="false" ht="15" hidden="false" customHeight="false" outlineLevel="0" collapsed="false">
      <c r="A383" s="2" t="s">
        <v>1562</v>
      </c>
      <c r="B383" s="2" t="s">
        <v>623</v>
      </c>
      <c r="C383" s="4" t="n">
        <v>46280</v>
      </c>
      <c r="D383" s="2" t="s">
        <v>1161</v>
      </c>
      <c r="E383" s="2" t="s">
        <v>1176</v>
      </c>
      <c r="F383" s="2"/>
      <c r="G383" s="4"/>
      <c r="H383" s="2" t="str">
        <f aca="false">IF(C383&gt;CRM_Dashboard!$B$3,"Future-dated",IF(AND(B383=B382,C383&lt;C382),"Date out of sequence",IF(AND(G383&lt;&gt;"",G383&lt;=C383),"Follow-up not after interaction","")))</f>
        <v>Date out of sequence</v>
      </c>
    </row>
    <row r="384" customFormat="false" ht="15" hidden="false" customHeight="false" outlineLevel="0" collapsed="false">
      <c r="A384" s="2" t="s">
        <v>1563</v>
      </c>
      <c r="B384" s="2" t="s">
        <v>623</v>
      </c>
      <c r="C384" s="4" t="n">
        <v>46285</v>
      </c>
      <c r="D384" s="2" t="s">
        <v>1161</v>
      </c>
      <c r="E384" s="2" t="s">
        <v>1173</v>
      </c>
      <c r="F384" s="2"/>
      <c r="G384" s="4"/>
      <c r="H384" s="2" t="str">
        <f aca="false">IF(C384&gt;CRM_Dashboard!$B$3,"Future-dated",IF(AND(B384=B383,C384&lt;C383),"Date out of sequence",IF(AND(G384&lt;&gt;"",G384&lt;=C384),"Follow-up not after interaction","")))</f>
        <v/>
      </c>
    </row>
    <row r="385" customFormat="false" ht="15" hidden="false" customHeight="false" outlineLevel="0" collapsed="false">
      <c r="A385" s="2" t="s">
        <v>1564</v>
      </c>
      <c r="B385" s="2" t="s">
        <v>623</v>
      </c>
      <c r="C385" s="4" t="n">
        <v>46278</v>
      </c>
      <c r="D385" s="2" t="s">
        <v>1161</v>
      </c>
      <c r="E385" s="2" t="s">
        <v>1188</v>
      </c>
      <c r="F385" s="2" t="s">
        <v>1195</v>
      </c>
      <c r="G385" s="4"/>
      <c r="H385" s="2" t="str">
        <f aca="false">IF(C385&gt;CRM_Dashboard!$B$3,"Future-dated",IF(AND(B385=B384,C385&lt;C384),"Date out of sequence",IF(AND(G385&lt;&gt;"",G385&lt;=C385),"Follow-up not after interaction","")))</f>
        <v>Date out of sequence</v>
      </c>
    </row>
    <row r="386" customFormat="false" ht="15" hidden="false" customHeight="false" outlineLevel="0" collapsed="false">
      <c r="A386" s="2" t="s">
        <v>1565</v>
      </c>
      <c r="B386" s="2" t="s">
        <v>626</v>
      </c>
      <c r="C386" s="4" t="n">
        <v>46233</v>
      </c>
      <c r="D386" s="2" t="s">
        <v>1161</v>
      </c>
      <c r="E386" s="2" t="s">
        <v>1252</v>
      </c>
      <c r="F386" s="2"/>
      <c r="G386" s="4"/>
      <c r="H386" s="2" t="str">
        <f aca="false">IF(C386&gt;CRM_Dashboard!$B$3,"Future-dated",IF(AND(B386=B385,C386&lt;C385),"Date out of sequence",IF(AND(G386&lt;&gt;"",G386&lt;=C386),"Follow-up not after interaction","")))</f>
        <v/>
      </c>
    </row>
    <row r="387" customFormat="false" ht="15" hidden="false" customHeight="false" outlineLevel="0" collapsed="false">
      <c r="A387" s="2" t="s">
        <v>1566</v>
      </c>
      <c r="B387" s="2" t="s">
        <v>626</v>
      </c>
      <c r="C387" s="4" t="n">
        <v>46236</v>
      </c>
      <c r="D387" s="2" t="s">
        <v>1161</v>
      </c>
      <c r="E387" s="2" t="s">
        <v>1162</v>
      </c>
      <c r="F387" s="2" t="s">
        <v>1177</v>
      </c>
      <c r="G387" s="4"/>
      <c r="H387" s="2" t="str">
        <f aca="false">IF(C387&gt;CRM_Dashboard!$B$3,"Future-dated",IF(AND(B387=B386,C387&lt;C386),"Date out of sequence",IF(AND(G387&lt;&gt;"",G387&lt;=C387),"Follow-up not after interaction","")))</f>
        <v/>
      </c>
    </row>
    <row r="388" customFormat="false" ht="15" hidden="false" customHeight="false" outlineLevel="0" collapsed="false">
      <c r="A388" s="2" t="s">
        <v>1567</v>
      </c>
      <c r="B388" s="2" t="s">
        <v>629</v>
      </c>
      <c r="C388" s="4" t="n">
        <v>46210</v>
      </c>
      <c r="D388" s="2" t="s">
        <v>1161</v>
      </c>
      <c r="E388" s="2" t="s">
        <v>1176</v>
      </c>
      <c r="F388" s="2" t="s">
        <v>1174</v>
      </c>
      <c r="G388" s="4" t="n">
        <v>46212</v>
      </c>
      <c r="H388" s="2" t="str">
        <f aca="false">IF(C388&gt;CRM_Dashboard!$B$3,"Future-dated",IF(AND(B388=B387,C388&lt;C387),"Date out of sequence",IF(AND(G388&lt;&gt;"",G388&lt;=C388),"Follow-up not after interaction","")))</f>
        <v/>
      </c>
    </row>
    <row r="389" customFormat="false" ht="15" hidden="false" customHeight="false" outlineLevel="0" collapsed="false">
      <c r="A389" s="2" t="s">
        <v>1568</v>
      </c>
      <c r="B389" s="2" t="s">
        <v>632</v>
      </c>
      <c r="C389" s="4" t="n">
        <v>46231</v>
      </c>
      <c r="D389" s="2" t="s">
        <v>1161</v>
      </c>
      <c r="E389" s="2" t="s">
        <v>1173</v>
      </c>
      <c r="F389" s="2"/>
      <c r="G389" s="4"/>
      <c r="H389" s="2" t="str">
        <f aca="false">IF(C389&gt;CRM_Dashboard!$B$3,"Future-dated",IF(AND(B389=B388,C389&lt;C388),"Date out of sequence",IF(AND(G389&lt;&gt;"",G389&lt;=C389),"Follow-up not after interaction","")))</f>
        <v/>
      </c>
    </row>
    <row r="390" customFormat="false" ht="15" hidden="false" customHeight="false" outlineLevel="0" collapsed="false">
      <c r="A390" s="2" t="s">
        <v>1569</v>
      </c>
      <c r="B390" s="2" t="s">
        <v>632</v>
      </c>
      <c r="C390" s="4" t="n">
        <v>46229</v>
      </c>
      <c r="D390" s="2" t="s">
        <v>1161</v>
      </c>
      <c r="E390" s="2" t="s">
        <v>1167</v>
      </c>
      <c r="F390" s="2"/>
      <c r="G390" s="4"/>
      <c r="H390" s="2" t="str">
        <f aca="false">IF(C390&gt;CRM_Dashboard!$B$3,"Future-dated",IF(AND(B390=B389,C390&lt;C389),"Date out of sequence",IF(AND(G390&lt;&gt;"",G390&lt;=C390),"Follow-up not after interaction","")))</f>
        <v>Date out of sequence</v>
      </c>
    </row>
    <row r="391" customFormat="false" ht="15" hidden="false" customHeight="false" outlineLevel="0" collapsed="false">
      <c r="A391" s="2" t="s">
        <v>1570</v>
      </c>
      <c r="B391" s="2" t="s">
        <v>632</v>
      </c>
      <c r="C391" s="4" t="n">
        <v>46232</v>
      </c>
      <c r="D391" s="2" t="s">
        <v>1161</v>
      </c>
      <c r="E391" s="2" t="s">
        <v>1205</v>
      </c>
      <c r="F391" s="2" t="s">
        <v>1168</v>
      </c>
      <c r="G391" s="4"/>
      <c r="H391" s="2" t="str">
        <f aca="false">IF(C391&gt;CRM_Dashboard!$B$3,"Future-dated",IF(AND(B391=B390,C391&lt;C390),"Date out of sequence",IF(AND(G391&lt;&gt;"",G391&lt;=C391),"Follow-up not after interaction","")))</f>
        <v/>
      </c>
    </row>
    <row r="392" customFormat="false" ht="15" hidden="false" customHeight="false" outlineLevel="0" collapsed="false">
      <c r="A392" s="2" t="s">
        <v>1571</v>
      </c>
      <c r="B392" s="2" t="s">
        <v>636</v>
      </c>
      <c r="C392" s="4" t="n">
        <v>46212</v>
      </c>
      <c r="D392" s="2" t="s">
        <v>1161</v>
      </c>
      <c r="E392" s="2" t="s">
        <v>1252</v>
      </c>
      <c r="F392" s="2"/>
      <c r="G392" s="4"/>
      <c r="H392" s="2" t="str">
        <f aca="false">IF(C392&gt;CRM_Dashboard!$B$3,"Future-dated",IF(AND(B392=B391,C392&lt;C391),"Date out of sequence",IF(AND(G392&lt;&gt;"",G392&lt;=C392),"Follow-up not after interaction","")))</f>
        <v/>
      </c>
    </row>
    <row r="393" customFormat="false" ht="15" hidden="false" customHeight="false" outlineLevel="0" collapsed="false">
      <c r="A393" s="2" t="s">
        <v>1572</v>
      </c>
      <c r="B393" s="2" t="s">
        <v>636</v>
      </c>
      <c r="C393" s="4" t="n">
        <v>46211</v>
      </c>
      <c r="D393" s="2" t="s">
        <v>1161</v>
      </c>
      <c r="E393" s="2" t="s">
        <v>1162</v>
      </c>
      <c r="F393" s="2"/>
      <c r="G393" s="4"/>
      <c r="H393" s="2" t="str">
        <f aca="false">IF(C393&gt;CRM_Dashboard!$B$3,"Future-dated",IF(AND(B393=B392,C393&lt;C392),"Date out of sequence",IF(AND(G393&lt;&gt;"",G393&lt;=C393),"Follow-up not after interaction","")))</f>
        <v>Date out of sequence</v>
      </c>
    </row>
    <row r="394" customFormat="false" ht="15" hidden="false" customHeight="false" outlineLevel="0" collapsed="false">
      <c r="A394" s="2" t="s">
        <v>1573</v>
      </c>
      <c r="B394" s="2" t="s">
        <v>636</v>
      </c>
      <c r="C394" s="4" t="n">
        <v>46213</v>
      </c>
      <c r="D394" s="2" t="s">
        <v>1161</v>
      </c>
      <c r="E394" s="2" t="s">
        <v>1188</v>
      </c>
      <c r="F394" s="2"/>
      <c r="G394" s="4"/>
      <c r="H394" s="2" t="str">
        <f aca="false">IF(C394&gt;CRM_Dashboard!$B$3,"Future-dated",IF(AND(B394=B393,C394&lt;C393),"Date out of sequence",IF(AND(G394&lt;&gt;"",G394&lt;=C394),"Follow-up not after interaction","")))</f>
        <v/>
      </c>
    </row>
    <row r="395" customFormat="false" ht="15" hidden="false" customHeight="false" outlineLevel="0" collapsed="false">
      <c r="A395" s="2" t="s">
        <v>1574</v>
      </c>
      <c r="B395" s="2" t="s">
        <v>636</v>
      </c>
      <c r="C395" s="4" t="n">
        <v>46213</v>
      </c>
      <c r="D395" s="2" t="s">
        <v>1161</v>
      </c>
      <c r="E395" s="2" t="s">
        <v>1179</v>
      </c>
      <c r="F395" s="2" t="s">
        <v>1174</v>
      </c>
      <c r="G395" s="4"/>
      <c r="H395" s="2" t="str">
        <f aca="false">IF(C395&gt;CRM_Dashboard!$B$3,"Future-dated",IF(AND(B395=B394,C395&lt;C394),"Date out of sequence",IF(AND(G395&lt;&gt;"",G395&lt;=C395),"Follow-up not after interaction","")))</f>
        <v/>
      </c>
    </row>
    <row r="396" customFormat="false" ht="15" hidden="false" customHeight="false" outlineLevel="0" collapsed="false">
      <c r="A396" s="2" t="s">
        <v>1575</v>
      </c>
      <c r="B396" s="2" t="s">
        <v>640</v>
      </c>
      <c r="C396" s="4" t="n">
        <v>46272</v>
      </c>
      <c r="D396" s="2" t="s">
        <v>1161</v>
      </c>
      <c r="E396" s="2" t="s">
        <v>1179</v>
      </c>
      <c r="F396" s="2"/>
      <c r="G396" s="4"/>
      <c r="H396" s="2" t="str">
        <f aca="false">IF(C396&gt;CRM_Dashboard!$B$3,"Future-dated",IF(AND(B396=B395,C396&lt;C395),"Date out of sequence",IF(AND(G396&lt;&gt;"",G396&lt;=C396),"Follow-up not after interaction","")))</f>
        <v/>
      </c>
    </row>
    <row r="397" customFormat="false" ht="15" hidden="false" customHeight="false" outlineLevel="0" collapsed="false">
      <c r="A397" s="2" t="s">
        <v>1576</v>
      </c>
      <c r="B397" s="2" t="s">
        <v>640</v>
      </c>
      <c r="C397" s="4" t="n">
        <v>46276</v>
      </c>
      <c r="D397" s="2" t="s">
        <v>1161</v>
      </c>
      <c r="E397" s="2" t="s">
        <v>1162</v>
      </c>
      <c r="F397" s="2"/>
      <c r="G397" s="4"/>
      <c r="H397" s="2" t="str">
        <f aca="false">IF(C397&gt;CRM_Dashboard!$B$3,"Future-dated",IF(AND(B397=B396,C397&lt;C396),"Date out of sequence",IF(AND(G397&lt;&gt;"",G397&lt;=C397),"Follow-up not after interaction","")))</f>
        <v/>
      </c>
    </row>
    <row r="398" customFormat="false" ht="15" hidden="false" customHeight="false" outlineLevel="0" collapsed="false">
      <c r="A398" s="2" t="s">
        <v>1577</v>
      </c>
      <c r="B398" s="2" t="s">
        <v>640</v>
      </c>
      <c r="C398" s="4" t="n">
        <v>46274</v>
      </c>
      <c r="D398" s="2" t="s">
        <v>1161</v>
      </c>
      <c r="E398" s="2" t="s">
        <v>1176</v>
      </c>
      <c r="F398" s="2"/>
      <c r="G398" s="4"/>
      <c r="H398" s="2" t="str">
        <f aca="false">IF(C398&gt;CRM_Dashboard!$B$3,"Future-dated",IF(AND(B398=B397,C398&lt;C397),"Date out of sequence",IF(AND(G398&lt;&gt;"",G398&lt;=C398),"Follow-up not after interaction","")))</f>
        <v>Date out of sequence</v>
      </c>
    </row>
    <row r="399" customFormat="false" ht="15" hidden="false" customHeight="false" outlineLevel="0" collapsed="false">
      <c r="A399" s="2" t="s">
        <v>1578</v>
      </c>
      <c r="B399" s="2" t="s">
        <v>640</v>
      </c>
      <c r="C399" s="4" t="n">
        <v>46272</v>
      </c>
      <c r="D399" s="2" t="s">
        <v>1161</v>
      </c>
      <c r="E399" s="2" t="s">
        <v>1162</v>
      </c>
      <c r="F399" s="2" t="s">
        <v>1168</v>
      </c>
      <c r="G399" s="4"/>
      <c r="H399" s="2" t="str">
        <f aca="false">IF(C399&gt;CRM_Dashboard!$B$3,"Future-dated",IF(AND(B399=B398,C399&lt;C398),"Date out of sequence",IF(AND(G399&lt;&gt;"",G399&lt;=C399),"Follow-up not after interaction","")))</f>
        <v>Date out of sequence</v>
      </c>
    </row>
    <row r="400" customFormat="false" ht="15" hidden="false" customHeight="false" outlineLevel="0" collapsed="false">
      <c r="A400" s="2" t="s">
        <v>1579</v>
      </c>
      <c r="B400" s="2" t="s">
        <v>644</v>
      </c>
      <c r="C400" s="4" t="n">
        <v>46249</v>
      </c>
      <c r="D400" s="2" t="s">
        <v>1161</v>
      </c>
      <c r="E400" s="2" t="s">
        <v>1167</v>
      </c>
      <c r="F400" s="2"/>
      <c r="G400" s="4"/>
      <c r="H400" s="2" t="str">
        <f aca="false">IF(C400&gt;CRM_Dashboard!$B$3,"Future-dated",IF(AND(B400=B399,C400&lt;C399),"Date out of sequence",IF(AND(G400&lt;&gt;"",G400&lt;=C400),"Follow-up not after interaction","")))</f>
        <v/>
      </c>
    </row>
    <row r="401" customFormat="false" ht="15" hidden="false" customHeight="false" outlineLevel="0" collapsed="false">
      <c r="A401" s="2" t="s">
        <v>1580</v>
      </c>
      <c r="B401" s="2" t="s">
        <v>644</v>
      </c>
      <c r="C401" s="4" t="n">
        <v>46251</v>
      </c>
      <c r="D401" s="2" t="s">
        <v>1161</v>
      </c>
      <c r="E401" s="2" t="s">
        <v>1188</v>
      </c>
      <c r="F401" s="2"/>
      <c r="G401" s="4"/>
      <c r="H401" s="2" t="str">
        <f aca="false">IF(C401&gt;CRM_Dashboard!$B$3,"Future-dated",IF(AND(B401=B400,C401&lt;C400),"Date out of sequence",IF(AND(G401&lt;&gt;"",G401&lt;=C401),"Follow-up not after interaction","")))</f>
        <v/>
      </c>
    </row>
    <row r="402" customFormat="false" ht="15" hidden="false" customHeight="false" outlineLevel="0" collapsed="false">
      <c r="A402" s="2" t="s">
        <v>1581</v>
      </c>
      <c r="B402" s="2" t="s">
        <v>644</v>
      </c>
      <c r="C402" s="4" t="n">
        <v>46248</v>
      </c>
      <c r="D402" s="2" t="s">
        <v>1161</v>
      </c>
      <c r="E402" s="2" t="s">
        <v>1162</v>
      </c>
      <c r="F402" s="2" t="s">
        <v>1165</v>
      </c>
      <c r="G402" s="4"/>
      <c r="H402" s="2" t="str">
        <f aca="false">IF(C402&gt;CRM_Dashboard!$B$3,"Future-dated",IF(AND(B402=B401,C402&lt;C401),"Date out of sequence",IF(AND(G402&lt;&gt;"",G402&lt;=C402),"Follow-up not after interaction","")))</f>
        <v>Date out of sequence</v>
      </c>
    </row>
    <row r="403" customFormat="false" ht="15" hidden="false" customHeight="false" outlineLevel="0" collapsed="false">
      <c r="A403" s="2" t="s">
        <v>1582</v>
      </c>
      <c r="B403" s="2" t="s">
        <v>648</v>
      </c>
      <c r="C403" s="4" t="n">
        <v>46266</v>
      </c>
      <c r="D403" s="2" t="s">
        <v>1161</v>
      </c>
      <c r="E403" s="2" t="s">
        <v>1185</v>
      </c>
      <c r="F403" s="2"/>
      <c r="G403" s="4"/>
      <c r="H403" s="2" t="str">
        <f aca="false">IF(C403&gt;CRM_Dashboard!$B$3,"Future-dated",IF(AND(B403=B402,C403&lt;C402),"Date out of sequence",IF(AND(G403&lt;&gt;"",G403&lt;=C403),"Follow-up not after interaction","")))</f>
        <v/>
      </c>
    </row>
    <row r="404" customFormat="false" ht="15" hidden="false" customHeight="false" outlineLevel="0" collapsed="false">
      <c r="A404" s="2" t="s">
        <v>1583</v>
      </c>
      <c r="B404" s="2" t="s">
        <v>648</v>
      </c>
      <c r="C404" s="4" t="n">
        <v>46267</v>
      </c>
      <c r="D404" s="2" t="s">
        <v>1161</v>
      </c>
      <c r="E404" s="2" t="s">
        <v>1162</v>
      </c>
      <c r="F404" s="2"/>
      <c r="G404" s="4"/>
      <c r="H404" s="2" t="str">
        <f aca="false">IF(C404&gt;CRM_Dashboard!$B$3,"Future-dated",IF(AND(B404=B403,C404&lt;C403),"Date out of sequence",IF(AND(G404&lt;&gt;"",G404&lt;=C404),"Follow-up not after interaction","")))</f>
        <v/>
      </c>
    </row>
    <row r="405" customFormat="false" ht="15" hidden="false" customHeight="false" outlineLevel="0" collapsed="false">
      <c r="A405" s="2" t="s">
        <v>1584</v>
      </c>
      <c r="B405" s="2" t="s">
        <v>648</v>
      </c>
      <c r="C405" s="4" t="n">
        <v>46272</v>
      </c>
      <c r="D405" s="2" t="s">
        <v>1161</v>
      </c>
      <c r="E405" s="2" t="s">
        <v>1176</v>
      </c>
      <c r="F405" s="2" t="s">
        <v>1183</v>
      </c>
      <c r="G405" s="4" t="n">
        <v>46270</v>
      </c>
      <c r="H405" s="2" t="str">
        <f aca="false">IF(C405&gt;CRM_Dashboard!$B$3,"Future-dated",IF(AND(B405=B404,C405&lt;C404),"Date out of sequence",IF(AND(G405&lt;&gt;"",G405&lt;=C405),"Follow-up not after interaction","")))</f>
        <v>Follow-up not after interaction</v>
      </c>
    </row>
    <row r="406" customFormat="false" ht="15" hidden="false" customHeight="false" outlineLevel="0" collapsed="false">
      <c r="A406" s="2" t="s">
        <v>1585</v>
      </c>
      <c r="B406" s="2" t="s">
        <v>651</v>
      </c>
      <c r="C406" s="4" t="n">
        <v>46214</v>
      </c>
      <c r="D406" s="2" t="s">
        <v>1161</v>
      </c>
      <c r="E406" s="2" t="s">
        <v>1176</v>
      </c>
      <c r="F406" s="2" t="s">
        <v>1183</v>
      </c>
      <c r="G406" s="4" t="n">
        <v>46220</v>
      </c>
      <c r="H406" s="2" t="str">
        <f aca="false">IF(C406&gt;CRM_Dashboard!$B$3,"Future-dated",IF(AND(B406=B405,C406&lt;C405),"Date out of sequence",IF(AND(G406&lt;&gt;"",G406&lt;=C406),"Follow-up not after interaction","")))</f>
        <v/>
      </c>
    </row>
    <row r="407" customFormat="false" ht="15" hidden="false" customHeight="false" outlineLevel="0" collapsed="false">
      <c r="A407" s="2" t="s">
        <v>1586</v>
      </c>
      <c r="B407" s="2" t="s">
        <v>655</v>
      </c>
      <c r="C407" s="4" t="n">
        <v>46234</v>
      </c>
      <c r="D407" s="2" t="s">
        <v>1161</v>
      </c>
      <c r="E407" s="2" t="s">
        <v>1176</v>
      </c>
      <c r="F407" s="2"/>
      <c r="G407" s="4"/>
      <c r="H407" s="2" t="str">
        <f aca="false">IF(C407&gt;CRM_Dashboard!$B$3,"Future-dated",IF(AND(B407=B406,C407&lt;C406),"Date out of sequence",IF(AND(G407&lt;&gt;"",G407&lt;=C407),"Follow-up not after interaction","")))</f>
        <v/>
      </c>
    </row>
    <row r="408" customFormat="false" ht="15" hidden="false" customHeight="false" outlineLevel="0" collapsed="false">
      <c r="A408" s="2" t="s">
        <v>1587</v>
      </c>
      <c r="B408" s="2" t="s">
        <v>655</v>
      </c>
      <c r="C408" s="4" t="n">
        <v>46236</v>
      </c>
      <c r="D408" s="2" t="s">
        <v>1161</v>
      </c>
      <c r="E408" s="2" t="s">
        <v>1176</v>
      </c>
      <c r="F408" s="2" t="s">
        <v>1177</v>
      </c>
      <c r="G408" s="4" t="n">
        <v>46238</v>
      </c>
      <c r="H408" s="2" t="str">
        <f aca="false">IF(C408&gt;CRM_Dashboard!$B$3,"Future-dated",IF(AND(B408=B407,C408&lt;C407),"Date out of sequence",IF(AND(G408&lt;&gt;"",G408&lt;=C408),"Follow-up not after interaction","")))</f>
        <v/>
      </c>
    </row>
    <row r="409" customFormat="false" ht="15" hidden="false" customHeight="false" outlineLevel="0" collapsed="false">
      <c r="A409" s="2" t="s">
        <v>1588</v>
      </c>
      <c r="B409" s="2" t="s">
        <v>659</v>
      </c>
      <c r="C409" s="4" t="n">
        <v>46293</v>
      </c>
      <c r="D409" s="2" t="s">
        <v>1161</v>
      </c>
      <c r="E409" s="2" t="s">
        <v>1176</v>
      </c>
      <c r="F409" s="2" t="s">
        <v>1177</v>
      </c>
      <c r="G409" s="4" t="n">
        <v>46297</v>
      </c>
      <c r="H409" s="2" t="str">
        <f aca="false">IF(C409&gt;CRM_Dashboard!$B$3,"Future-dated",IF(AND(B409=B408,C409&lt;C408),"Date out of sequence",IF(AND(G409&lt;&gt;"",G409&lt;=C409),"Follow-up not after interaction","")))</f>
        <v/>
      </c>
    </row>
    <row r="410" customFormat="false" ht="15" hidden="false" customHeight="false" outlineLevel="0" collapsed="false">
      <c r="A410" s="2" t="s">
        <v>1589</v>
      </c>
      <c r="B410" s="2" t="s">
        <v>662</v>
      </c>
      <c r="C410" s="4" t="n">
        <v>46227</v>
      </c>
      <c r="D410" s="2" t="s">
        <v>1161</v>
      </c>
      <c r="E410" s="2" t="s">
        <v>1173</v>
      </c>
      <c r="F410" s="2"/>
      <c r="G410" s="4"/>
      <c r="H410" s="2" t="str">
        <f aca="false">IF(C410&gt;CRM_Dashboard!$B$3,"Future-dated",IF(AND(B410=B409,C410&lt;C409),"Date out of sequence",IF(AND(G410&lt;&gt;"",G410&lt;=C410),"Follow-up not after interaction","")))</f>
        <v/>
      </c>
    </row>
    <row r="411" customFormat="false" ht="15" hidden="false" customHeight="false" outlineLevel="0" collapsed="false">
      <c r="A411" s="2" t="s">
        <v>1590</v>
      </c>
      <c r="B411" s="2" t="s">
        <v>662</v>
      </c>
      <c r="C411" s="4" t="n">
        <v>46224</v>
      </c>
      <c r="D411" s="2" t="s">
        <v>1161</v>
      </c>
      <c r="E411" s="2" t="s">
        <v>1176</v>
      </c>
      <c r="F411" s="2" t="s">
        <v>1209</v>
      </c>
      <c r="G411" s="4" t="n">
        <v>46227</v>
      </c>
      <c r="H411" s="2" t="str">
        <f aca="false">IF(C411&gt;CRM_Dashboard!$B$3,"Future-dated",IF(AND(B411=B410,C411&lt;C410),"Date out of sequence",IF(AND(G411&lt;&gt;"",G411&lt;=C411),"Follow-up not after interaction","")))</f>
        <v>Date out of sequence</v>
      </c>
    </row>
    <row r="412" customFormat="false" ht="15" hidden="false" customHeight="false" outlineLevel="0" collapsed="false">
      <c r="A412" s="2" t="s">
        <v>1591</v>
      </c>
      <c r="B412" s="2" t="s">
        <v>666</v>
      </c>
      <c r="C412" s="4" t="n">
        <v>46273</v>
      </c>
      <c r="D412" s="2" t="s">
        <v>1161</v>
      </c>
      <c r="E412" s="2" t="s">
        <v>1176</v>
      </c>
      <c r="F412" s="2"/>
      <c r="G412" s="4"/>
      <c r="H412" s="2" t="str">
        <f aca="false">IF(C412&gt;CRM_Dashboard!$B$3,"Future-dated",IF(AND(B412=B411,C412&lt;C411),"Date out of sequence",IF(AND(G412&lt;&gt;"",G412&lt;=C412),"Follow-up not after interaction","")))</f>
        <v/>
      </c>
    </row>
    <row r="413" customFormat="false" ht="15" hidden="false" customHeight="false" outlineLevel="0" collapsed="false">
      <c r="A413" s="2" t="s">
        <v>1592</v>
      </c>
      <c r="B413" s="2" t="s">
        <v>666</v>
      </c>
      <c r="C413" s="4" t="n">
        <v>46273</v>
      </c>
      <c r="D413" s="2" t="s">
        <v>1161</v>
      </c>
      <c r="E413" s="2" t="s">
        <v>1162</v>
      </c>
      <c r="F413" s="2"/>
      <c r="G413" s="4"/>
      <c r="H413" s="2" t="str">
        <f aca="false">IF(C413&gt;CRM_Dashboard!$B$3,"Future-dated",IF(AND(B413=B412,C413&lt;C412),"Date out of sequence",IF(AND(G413&lt;&gt;"",G413&lt;=C413),"Follow-up not after interaction","")))</f>
        <v/>
      </c>
    </row>
    <row r="414" customFormat="false" ht="15" hidden="false" customHeight="false" outlineLevel="0" collapsed="false">
      <c r="A414" s="2" t="s">
        <v>1593</v>
      </c>
      <c r="B414" s="2" t="s">
        <v>666</v>
      </c>
      <c r="C414" s="4" t="n">
        <v>46274</v>
      </c>
      <c r="D414" s="2" t="s">
        <v>1161</v>
      </c>
      <c r="E414" s="2" t="s">
        <v>1176</v>
      </c>
      <c r="F414" s="2"/>
      <c r="G414" s="4"/>
      <c r="H414" s="2" t="str">
        <f aca="false">IF(C414&gt;CRM_Dashboard!$B$3,"Future-dated",IF(AND(B414=B413,C414&lt;C413),"Date out of sequence",IF(AND(G414&lt;&gt;"",G414&lt;=C414),"Follow-up not after interaction","")))</f>
        <v/>
      </c>
    </row>
    <row r="415" customFormat="false" ht="15" hidden="false" customHeight="false" outlineLevel="0" collapsed="false">
      <c r="A415" s="2" t="s">
        <v>1594</v>
      </c>
      <c r="B415" s="2" t="s">
        <v>666</v>
      </c>
      <c r="C415" s="4" t="n">
        <v>46274</v>
      </c>
      <c r="D415" s="2" t="s">
        <v>1161</v>
      </c>
      <c r="E415" s="2" t="s">
        <v>1252</v>
      </c>
      <c r="F415" s="2" t="s">
        <v>1165</v>
      </c>
      <c r="G415" s="4"/>
      <c r="H415" s="2" t="str">
        <f aca="false">IF(C415&gt;CRM_Dashboard!$B$3,"Future-dated",IF(AND(B415=B414,C415&lt;C414),"Date out of sequence",IF(AND(G415&lt;&gt;"",G415&lt;=C415),"Follow-up not after interaction","")))</f>
        <v/>
      </c>
    </row>
    <row r="416" customFormat="false" ht="15" hidden="false" customHeight="false" outlineLevel="0" collapsed="false">
      <c r="A416" s="2" t="s">
        <v>1595</v>
      </c>
      <c r="B416" s="2" t="s">
        <v>669</v>
      </c>
      <c r="C416" s="4" t="n">
        <v>46251</v>
      </c>
      <c r="D416" s="2" t="s">
        <v>1161</v>
      </c>
      <c r="E416" s="2" t="s">
        <v>1176</v>
      </c>
      <c r="F416" s="2" t="s">
        <v>1203</v>
      </c>
      <c r="G416" s="4" t="n">
        <v>46250</v>
      </c>
      <c r="H416" s="2" t="str">
        <f aca="false">IF(C416&gt;CRM_Dashboard!$B$3,"Future-dated",IF(AND(B416=B415,C416&lt;C415),"Date out of sequence",IF(AND(G416&lt;&gt;"",G416&lt;=C416),"Follow-up not after interaction","")))</f>
        <v>Follow-up not after interaction</v>
      </c>
    </row>
    <row r="417" customFormat="false" ht="15" hidden="false" customHeight="false" outlineLevel="0" collapsed="false">
      <c r="A417" s="2" t="s">
        <v>1596</v>
      </c>
      <c r="B417" s="2" t="s">
        <v>673</v>
      </c>
      <c r="C417" s="4" t="n">
        <v>46253</v>
      </c>
      <c r="D417" s="2" t="s">
        <v>1161</v>
      </c>
      <c r="E417" s="2" t="s">
        <v>1179</v>
      </c>
      <c r="F417" s="2"/>
      <c r="G417" s="4"/>
      <c r="H417" s="2" t="str">
        <f aca="false">IF(C417&gt;CRM_Dashboard!$B$3,"Future-dated",IF(AND(B417=B416,C417&lt;C416),"Date out of sequence",IF(AND(G417&lt;&gt;"",G417&lt;=C417),"Follow-up not after interaction","")))</f>
        <v/>
      </c>
    </row>
    <row r="418" customFormat="false" ht="15" hidden="false" customHeight="false" outlineLevel="0" collapsed="false">
      <c r="A418" s="2" t="s">
        <v>1597</v>
      </c>
      <c r="B418" s="2" t="s">
        <v>673</v>
      </c>
      <c r="C418" s="4" t="n">
        <v>46252</v>
      </c>
      <c r="D418" s="2" t="s">
        <v>1161</v>
      </c>
      <c r="E418" s="2" t="s">
        <v>1205</v>
      </c>
      <c r="F418" s="2"/>
      <c r="G418" s="4"/>
      <c r="H418" s="2" t="str">
        <f aca="false">IF(C418&gt;CRM_Dashboard!$B$3,"Future-dated",IF(AND(B418=B417,C418&lt;C417),"Date out of sequence",IF(AND(G418&lt;&gt;"",G418&lt;=C418),"Follow-up not after interaction","")))</f>
        <v>Date out of sequence</v>
      </c>
    </row>
    <row r="419" customFormat="false" ht="15" hidden="false" customHeight="false" outlineLevel="0" collapsed="false">
      <c r="A419" s="2" t="s">
        <v>1598</v>
      </c>
      <c r="B419" s="2" t="s">
        <v>673</v>
      </c>
      <c r="C419" s="4" t="n">
        <v>46257</v>
      </c>
      <c r="D419" s="2" t="s">
        <v>1161</v>
      </c>
      <c r="E419" s="2" t="s">
        <v>1173</v>
      </c>
      <c r="F419" s="2"/>
      <c r="G419" s="4"/>
      <c r="H419" s="2" t="str">
        <f aca="false">IF(C419&gt;CRM_Dashboard!$B$3,"Future-dated",IF(AND(B419=B418,C419&lt;C418),"Date out of sequence",IF(AND(G419&lt;&gt;"",G419&lt;=C419),"Follow-up not after interaction","")))</f>
        <v/>
      </c>
    </row>
    <row r="420" customFormat="false" ht="15" hidden="false" customHeight="false" outlineLevel="0" collapsed="false">
      <c r="A420" s="2" t="s">
        <v>1599</v>
      </c>
      <c r="B420" s="2" t="s">
        <v>673</v>
      </c>
      <c r="C420" s="4" t="n">
        <v>46255</v>
      </c>
      <c r="D420" s="2" t="s">
        <v>1161</v>
      </c>
      <c r="E420" s="2" t="s">
        <v>1188</v>
      </c>
      <c r="F420" s="2" t="s">
        <v>1203</v>
      </c>
      <c r="G420" s="4"/>
      <c r="H420" s="2" t="str">
        <f aca="false">IF(C420&gt;CRM_Dashboard!$B$3,"Future-dated",IF(AND(B420=B419,C420&lt;C419),"Date out of sequence",IF(AND(G420&lt;&gt;"",G420&lt;=C420),"Follow-up not after interaction","")))</f>
        <v>Date out of sequence</v>
      </c>
    </row>
    <row r="421" customFormat="false" ht="15" hidden="false" customHeight="false" outlineLevel="0" collapsed="false">
      <c r="A421" s="2" t="s">
        <v>1600</v>
      </c>
      <c r="B421" s="2" t="s">
        <v>677</v>
      </c>
      <c r="C421" s="4" t="n">
        <v>46233</v>
      </c>
      <c r="D421" s="2" t="s">
        <v>1161</v>
      </c>
      <c r="E421" s="2" t="s">
        <v>1188</v>
      </c>
      <c r="F421" s="2" t="s">
        <v>1177</v>
      </c>
      <c r="G421" s="4"/>
      <c r="H421" s="2" t="str">
        <f aca="false">IF(C421&gt;CRM_Dashboard!$B$3,"Future-dated",IF(AND(B421=B420,C421&lt;C420),"Date out of sequence",IF(AND(G421&lt;&gt;"",G421&lt;=C421),"Follow-up not after interaction","")))</f>
        <v/>
      </c>
    </row>
    <row r="422" customFormat="false" ht="15" hidden="false" customHeight="false" outlineLevel="0" collapsed="false">
      <c r="A422" s="2" t="s">
        <v>1601</v>
      </c>
      <c r="B422" s="2" t="s">
        <v>681</v>
      </c>
      <c r="C422" s="4" t="n">
        <v>46251</v>
      </c>
      <c r="D422" s="2" t="s">
        <v>1161</v>
      </c>
      <c r="E422" s="2" t="s">
        <v>1162</v>
      </c>
      <c r="F422" s="2"/>
      <c r="G422" s="4"/>
      <c r="H422" s="2" t="str">
        <f aca="false">IF(C422&gt;CRM_Dashboard!$B$3,"Future-dated",IF(AND(B422=B421,C422&lt;C421),"Date out of sequence",IF(AND(G422&lt;&gt;"",G422&lt;=C422),"Follow-up not after interaction","")))</f>
        <v/>
      </c>
    </row>
    <row r="423" customFormat="false" ht="15" hidden="false" customHeight="false" outlineLevel="0" collapsed="false">
      <c r="A423" s="2" t="s">
        <v>1602</v>
      </c>
      <c r="B423" s="2" t="s">
        <v>681</v>
      </c>
      <c r="C423" s="4" t="n">
        <v>46250</v>
      </c>
      <c r="D423" s="2" t="s">
        <v>1161</v>
      </c>
      <c r="E423" s="2" t="s">
        <v>1185</v>
      </c>
      <c r="F423" s="2" t="s">
        <v>1177</v>
      </c>
      <c r="G423" s="4"/>
      <c r="H423" s="2" t="str">
        <f aca="false">IF(C423&gt;CRM_Dashboard!$B$3,"Future-dated",IF(AND(B423=B422,C423&lt;C422),"Date out of sequence",IF(AND(G423&lt;&gt;"",G423&lt;=C423),"Follow-up not after interaction","")))</f>
        <v>Date out of sequence</v>
      </c>
    </row>
    <row r="424" customFormat="false" ht="15" hidden="false" customHeight="false" outlineLevel="0" collapsed="false">
      <c r="A424" s="2" t="s">
        <v>1603</v>
      </c>
      <c r="B424" s="2" t="s">
        <v>685</v>
      </c>
      <c r="C424" s="4" t="n">
        <v>46218</v>
      </c>
      <c r="D424" s="2" t="s">
        <v>1161</v>
      </c>
      <c r="E424" s="2" t="s">
        <v>1176</v>
      </c>
      <c r="F424" s="2" t="s">
        <v>1177</v>
      </c>
      <c r="G424" s="4" t="n">
        <v>46217</v>
      </c>
      <c r="H424" s="2" t="str">
        <f aca="false">IF(C424&gt;CRM_Dashboard!$B$3,"Future-dated",IF(AND(B424=B423,C424&lt;C423),"Date out of sequence",IF(AND(G424&lt;&gt;"",G424&lt;=C424),"Follow-up not after interaction","")))</f>
        <v>Follow-up not after interaction</v>
      </c>
    </row>
    <row r="425" customFormat="false" ht="15" hidden="false" customHeight="false" outlineLevel="0" collapsed="false">
      <c r="A425" s="2" t="s">
        <v>1604</v>
      </c>
      <c r="B425" s="2" t="s">
        <v>688</v>
      </c>
      <c r="C425" s="4" t="n">
        <v>46212</v>
      </c>
      <c r="D425" s="2" t="s">
        <v>1161</v>
      </c>
      <c r="E425" s="2" t="s">
        <v>1176</v>
      </c>
      <c r="F425" s="2"/>
      <c r="G425" s="4"/>
      <c r="H425" s="2" t="str">
        <f aca="false">IF(C425&gt;CRM_Dashboard!$B$3,"Future-dated",IF(AND(B425=B424,C425&lt;C424),"Date out of sequence",IF(AND(G425&lt;&gt;"",G425&lt;=C425),"Follow-up not after interaction","")))</f>
        <v/>
      </c>
    </row>
    <row r="426" customFormat="false" ht="15" hidden="false" customHeight="false" outlineLevel="0" collapsed="false">
      <c r="A426" s="2" t="s">
        <v>1605</v>
      </c>
      <c r="B426" s="2" t="s">
        <v>688</v>
      </c>
      <c r="C426" s="4" t="n">
        <v>46216</v>
      </c>
      <c r="D426" s="2" t="s">
        <v>1161</v>
      </c>
      <c r="E426" s="2" t="s">
        <v>1173</v>
      </c>
      <c r="F426" s="2" t="s">
        <v>1168</v>
      </c>
      <c r="G426" s="4" t="n">
        <v>46221</v>
      </c>
      <c r="H426" s="2" t="str">
        <f aca="false">IF(C426&gt;CRM_Dashboard!$B$3,"Future-dated",IF(AND(B426=B425,C426&lt;C425),"Date out of sequence",IF(AND(G426&lt;&gt;"",G426&lt;=C426),"Follow-up not after interaction","")))</f>
        <v/>
      </c>
    </row>
    <row r="427" customFormat="false" ht="15" hidden="false" customHeight="false" outlineLevel="0" collapsed="false">
      <c r="A427" s="2" t="s">
        <v>1606</v>
      </c>
      <c r="B427" s="2" t="s">
        <v>692</v>
      </c>
      <c r="C427" s="4" t="n">
        <v>46234</v>
      </c>
      <c r="D427" s="2" t="s">
        <v>1161</v>
      </c>
      <c r="E427" s="2" t="s">
        <v>1173</v>
      </c>
      <c r="F427" s="2"/>
      <c r="G427" s="4"/>
      <c r="H427" s="2" t="str">
        <f aca="false">IF(C427&gt;CRM_Dashboard!$B$3,"Future-dated",IF(AND(B427=B426,C427&lt;C426),"Date out of sequence",IF(AND(G427&lt;&gt;"",G427&lt;=C427),"Follow-up not after interaction","")))</f>
        <v/>
      </c>
    </row>
    <row r="428" customFormat="false" ht="15" hidden="false" customHeight="false" outlineLevel="0" collapsed="false">
      <c r="A428" s="2" t="s">
        <v>1607</v>
      </c>
      <c r="B428" s="2" t="s">
        <v>692</v>
      </c>
      <c r="C428" s="4" t="n">
        <v>46235</v>
      </c>
      <c r="D428" s="2" t="s">
        <v>1161</v>
      </c>
      <c r="E428" s="2" t="s">
        <v>1162</v>
      </c>
      <c r="F428" s="2"/>
      <c r="G428" s="4"/>
      <c r="H428" s="2" t="str">
        <f aca="false">IF(C428&gt;CRM_Dashboard!$B$3,"Future-dated",IF(AND(B428=B427,C428&lt;C427),"Date out of sequence",IF(AND(G428&lt;&gt;"",G428&lt;=C428),"Follow-up not after interaction","")))</f>
        <v/>
      </c>
    </row>
    <row r="429" customFormat="false" ht="15" hidden="false" customHeight="false" outlineLevel="0" collapsed="false">
      <c r="A429" s="2" t="s">
        <v>1608</v>
      </c>
      <c r="B429" s="2" t="s">
        <v>692</v>
      </c>
      <c r="C429" s="4" t="n">
        <v>46239</v>
      </c>
      <c r="D429" s="2" t="s">
        <v>1161</v>
      </c>
      <c r="E429" s="2" t="s">
        <v>1171</v>
      </c>
      <c r="F429" s="2"/>
      <c r="G429" s="4"/>
      <c r="H429" s="2" t="str">
        <f aca="false">IF(C429&gt;CRM_Dashboard!$B$3,"Future-dated",IF(AND(B429=B428,C429&lt;C428),"Date out of sequence",IF(AND(G429&lt;&gt;"",G429&lt;=C429),"Follow-up not after interaction","")))</f>
        <v/>
      </c>
    </row>
    <row r="430" customFormat="false" ht="15" hidden="false" customHeight="false" outlineLevel="0" collapsed="false">
      <c r="A430" s="2" t="s">
        <v>1609</v>
      </c>
      <c r="B430" s="2" t="s">
        <v>692</v>
      </c>
      <c r="C430" s="4" t="n">
        <v>46239</v>
      </c>
      <c r="D430" s="2" t="s">
        <v>1161</v>
      </c>
      <c r="E430" s="2" t="s">
        <v>1179</v>
      </c>
      <c r="F430" s="2" t="s">
        <v>1203</v>
      </c>
      <c r="G430" s="4"/>
      <c r="H430" s="2" t="str">
        <f aca="false">IF(C430&gt;CRM_Dashboard!$B$3,"Future-dated",IF(AND(B430=B429,C430&lt;C429),"Date out of sequence",IF(AND(G430&lt;&gt;"",G430&lt;=C430),"Follow-up not after interaction","")))</f>
        <v/>
      </c>
    </row>
    <row r="431" customFormat="false" ht="15" hidden="false" customHeight="false" outlineLevel="0" collapsed="false">
      <c r="A431" s="2" t="s">
        <v>1610</v>
      </c>
      <c r="B431" s="2" t="s">
        <v>695</v>
      </c>
      <c r="C431" s="4" t="n">
        <v>46246</v>
      </c>
      <c r="D431" s="2" t="s">
        <v>1161</v>
      </c>
      <c r="E431" s="2" t="s">
        <v>1176</v>
      </c>
      <c r="F431" s="2"/>
      <c r="G431" s="4"/>
      <c r="H431" s="2" t="str">
        <f aca="false">IF(C431&gt;CRM_Dashboard!$B$3,"Future-dated",IF(AND(B431=B430,C431&lt;C430),"Date out of sequence",IF(AND(G431&lt;&gt;"",G431&lt;=C431),"Follow-up not after interaction","")))</f>
        <v/>
      </c>
    </row>
    <row r="432" customFormat="false" ht="15" hidden="false" customHeight="false" outlineLevel="0" collapsed="false">
      <c r="A432" s="2" t="s">
        <v>1611</v>
      </c>
      <c r="B432" s="2" t="s">
        <v>695</v>
      </c>
      <c r="C432" s="4" t="n">
        <v>46250</v>
      </c>
      <c r="D432" s="2" t="s">
        <v>1161</v>
      </c>
      <c r="E432" s="2" t="s">
        <v>1173</v>
      </c>
      <c r="F432" s="2"/>
      <c r="G432" s="4"/>
      <c r="H432" s="2" t="str">
        <f aca="false">IF(C432&gt;CRM_Dashboard!$B$3,"Future-dated",IF(AND(B432=B431,C432&lt;C431),"Date out of sequence",IF(AND(G432&lt;&gt;"",G432&lt;=C432),"Follow-up not after interaction","")))</f>
        <v/>
      </c>
    </row>
    <row r="433" customFormat="false" ht="15" hidden="false" customHeight="false" outlineLevel="0" collapsed="false">
      <c r="A433" s="2" t="s">
        <v>1612</v>
      </c>
      <c r="B433" s="2" t="s">
        <v>695</v>
      </c>
      <c r="C433" s="4" t="n">
        <v>46248</v>
      </c>
      <c r="D433" s="2" t="s">
        <v>1161</v>
      </c>
      <c r="E433" s="2" t="s">
        <v>1162</v>
      </c>
      <c r="F433" s="2"/>
      <c r="G433" s="4"/>
      <c r="H433" s="2" t="str">
        <f aca="false">IF(C433&gt;CRM_Dashboard!$B$3,"Future-dated",IF(AND(B433=B432,C433&lt;C432),"Date out of sequence",IF(AND(G433&lt;&gt;"",G433&lt;=C433),"Follow-up not after interaction","")))</f>
        <v>Date out of sequence</v>
      </c>
    </row>
    <row r="434" customFormat="false" ht="15" hidden="false" customHeight="false" outlineLevel="0" collapsed="false">
      <c r="A434" s="2" t="s">
        <v>1613</v>
      </c>
      <c r="B434" s="2" t="s">
        <v>695</v>
      </c>
      <c r="C434" s="4" t="n">
        <v>46251</v>
      </c>
      <c r="D434" s="2" t="s">
        <v>1161</v>
      </c>
      <c r="E434" s="2" t="s">
        <v>1176</v>
      </c>
      <c r="F434" s="2" t="s">
        <v>1203</v>
      </c>
      <c r="G434" s="4" t="n">
        <v>46248</v>
      </c>
      <c r="H434" s="2" t="str">
        <f aca="false">IF(C434&gt;CRM_Dashboard!$B$3,"Future-dated",IF(AND(B434=B433,C434&lt;C433),"Date out of sequence",IF(AND(G434&lt;&gt;"",G434&lt;=C434),"Follow-up not after interaction","")))</f>
        <v>Follow-up not after interaction</v>
      </c>
    </row>
    <row r="435" customFormat="false" ht="15" hidden="false" customHeight="false" outlineLevel="0" collapsed="false">
      <c r="A435" s="2" t="s">
        <v>1614</v>
      </c>
      <c r="B435" s="2" t="s">
        <v>699</v>
      </c>
      <c r="C435" s="4" t="n">
        <v>46275</v>
      </c>
      <c r="D435" s="2" t="s">
        <v>1161</v>
      </c>
      <c r="E435" s="2" t="s">
        <v>1176</v>
      </c>
      <c r="F435" s="2"/>
      <c r="G435" s="4"/>
      <c r="H435" s="2" t="str">
        <f aca="false">IF(C435&gt;CRM_Dashboard!$B$3,"Future-dated",IF(AND(B435=B434,C435&lt;C434),"Date out of sequence",IF(AND(G435&lt;&gt;"",G435&lt;=C435),"Follow-up not after interaction","")))</f>
        <v/>
      </c>
    </row>
    <row r="436" customFormat="false" ht="15" hidden="false" customHeight="false" outlineLevel="0" collapsed="false">
      <c r="A436" s="2" t="s">
        <v>1615</v>
      </c>
      <c r="B436" s="2" t="s">
        <v>699</v>
      </c>
      <c r="C436" s="4" t="n">
        <v>46271</v>
      </c>
      <c r="D436" s="2" t="s">
        <v>1161</v>
      </c>
      <c r="E436" s="2" t="s">
        <v>1162</v>
      </c>
      <c r="F436" s="2" t="s">
        <v>1177</v>
      </c>
      <c r="G436" s="4"/>
      <c r="H436" s="2" t="str">
        <f aca="false">IF(C436&gt;CRM_Dashboard!$B$3,"Future-dated",IF(AND(B436=B435,C436&lt;C435),"Date out of sequence",IF(AND(G436&lt;&gt;"",G436&lt;=C436),"Follow-up not after interaction","")))</f>
        <v>Date out of sequence</v>
      </c>
    </row>
    <row r="437" customFormat="false" ht="15" hidden="false" customHeight="false" outlineLevel="0" collapsed="false">
      <c r="A437" s="2" t="s">
        <v>1616</v>
      </c>
      <c r="B437" s="2" t="s">
        <v>703</v>
      </c>
      <c r="C437" s="4" t="n">
        <v>46253</v>
      </c>
      <c r="D437" s="2" t="s">
        <v>1161</v>
      </c>
      <c r="E437" s="2" t="s">
        <v>1179</v>
      </c>
      <c r="F437" s="2" t="s">
        <v>1183</v>
      </c>
      <c r="G437" s="4"/>
      <c r="H437" s="2" t="str">
        <f aca="false">IF(C437&gt;CRM_Dashboard!$B$3,"Future-dated",IF(AND(B437=B436,C437&lt;C436),"Date out of sequence",IF(AND(G437&lt;&gt;"",G437&lt;=C437),"Follow-up not after interaction","")))</f>
        <v/>
      </c>
    </row>
    <row r="438" customFormat="false" ht="15" hidden="false" customHeight="false" outlineLevel="0" collapsed="false">
      <c r="A438" s="2" t="s">
        <v>1617</v>
      </c>
      <c r="B438" s="2" t="s">
        <v>706</v>
      </c>
      <c r="C438" s="4" t="n">
        <v>46209</v>
      </c>
      <c r="D438" s="2" t="s">
        <v>1161</v>
      </c>
      <c r="E438" s="2" t="s">
        <v>1185</v>
      </c>
      <c r="F438" s="2"/>
      <c r="G438" s="4"/>
      <c r="H438" s="2" t="str">
        <f aca="false">IF(C438&gt;CRM_Dashboard!$B$3,"Future-dated",IF(AND(B438=B437,C438&lt;C437),"Date out of sequence",IF(AND(G438&lt;&gt;"",G438&lt;=C438),"Follow-up not after interaction","")))</f>
        <v/>
      </c>
    </row>
    <row r="439" customFormat="false" ht="15" hidden="false" customHeight="false" outlineLevel="0" collapsed="false">
      <c r="A439" s="2" t="s">
        <v>1618</v>
      </c>
      <c r="B439" s="2" t="s">
        <v>706</v>
      </c>
      <c r="C439" s="4" t="n">
        <v>46205</v>
      </c>
      <c r="D439" s="2" t="s">
        <v>1161</v>
      </c>
      <c r="E439" s="2" t="s">
        <v>1171</v>
      </c>
      <c r="F439" s="2" t="s">
        <v>1183</v>
      </c>
      <c r="G439" s="4"/>
      <c r="H439" s="2" t="str">
        <f aca="false">IF(C439&gt;CRM_Dashboard!$B$3,"Future-dated",IF(AND(B439=B438,C439&lt;C438),"Date out of sequence",IF(AND(G439&lt;&gt;"",G439&lt;=C439),"Follow-up not after interaction","")))</f>
        <v>Date out of sequence</v>
      </c>
    </row>
    <row r="440" customFormat="false" ht="15" hidden="false" customHeight="false" outlineLevel="0" collapsed="false">
      <c r="A440" s="2" t="s">
        <v>1619</v>
      </c>
      <c r="B440" s="2" t="s">
        <v>710</v>
      </c>
      <c r="C440" s="4" t="n">
        <v>46254</v>
      </c>
      <c r="D440" s="2" t="s">
        <v>1161</v>
      </c>
      <c r="E440" s="2" t="s">
        <v>1176</v>
      </c>
      <c r="F440" s="2"/>
      <c r="G440" s="4"/>
      <c r="H440" s="2" t="str">
        <f aca="false">IF(C440&gt;CRM_Dashboard!$B$3,"Future-dated",IF(AND(B440=B439,C440&lt;C439),"Date out of sequence",IF(AND(G440&lt;&gt;"",G440&lt;=C440),"Follow-up not after interaction","")))</f>
        <v/>
      </c>
    </row>
    <row r="441" customFormat="false" ht="15" hidden="false" customHeight="false" outlineLevel="0" collapsed="false">
      <c r="A441" s="2" t="s">
        <v>1620</v>
      </c>
      <c r="B441" s="2" t="s">
        <v>710</v>
      </c>
      <c r="C441" s="4" t="n">
        <v>46258</v>
      </c>
      <c r="D441" s="2" t="s">
        <v>1161</v>
      </c>
      <c r="E441" s="2" t="s">
        <v>1173</v>
      </c>
      <c r="F441" s="2"/>
      <c r="G441" s="4"/>
      <c r="H441" s="2" t="str">
        <f aca="false">IF(C441&gt;CRM_Dashboard!$B$3,"Future-dated",IF(AND(B441=B440,C441&lt;C440),"Date out of sequence",IF(AND(G441&lt;&gt;"",G441&lt;=C441),"Follow-up not after interaction","")))</f>
        <v/>
      </c>
    </row>
    <row r="442" customFormat="false" ht="15" hidden="false" customHeight="false" outlineLevel="0" collapsed="false">
      <c r="A442" s="2" t="s">
        <v>1621</v>
      </c>
      <c r="B442" s="2" t="s">
        <v>710</v>
      </c>
      <c r="C442" s="4" t="n">
        <v>46254</v>
      </c>
      <c r="D442" s="2" t="s">
        <v>1161</v>
      </c>
      <c r="E442" s="2" t="s">
        <v>1162</v>
      </c>
      <c r="F442" s="2"/>
      <c r="G442" s="4"/>
      <c r="H442" s="2" t="str">
        <f aca="false">IF(C442&gt;CRM_Dashboard!$B$3,"Future-dated",IF(AND(B442=B441,C442&lt;C441),"Date out of sequence",IF(AND(G442&lt;&gt;"",G442&lt;=C442),"Follow-up not after interaction","")))</f>
        <v>Date out of sequence</v>
      </c>
    </row>
    <row r="443" customFormat="false" ht="15" hidden="false" customHeight="false" outlineLevel="0" collapsed="false">
      <c r="A443" s="2" t="s">
        <v>1622</v>
      </c>
      <c r="B443" s="2" t="s">
        <v>710</v>
      </c>
      <c r="C443" s="4" t="n">
        <v>46260</v>
      </c>
      <c r="D443" s="2" t="s">
        <v>1161</v>
      </c>
      <c r="E443" s="2" t="s">
        <v>1176</v>
      </c>
      <c r="F443" s="2" t="s">
        <v>1183</v>
      </c>
      <c r="G443" s="4" t="n">
        <v>46254</v>
      </c>
      <c r="H443" s="2" t="str">
        <f aca="false">IF(C443&gt;CRM_Dashboard!$B$3,"Future-dated",IF(AND(B443=B442,C443&lt;C442),"Date out of sequence",IF(AND(G443&lt;&gt;"",G443&lt;=C443),"Follow-up not after interaction","")))</f>
        <v>Follow-up not after interaction</v>
      </c>
    </row>
    <row r="444" customFormat="false" ht="15" hidden="false" customHeight="false" outlineLevel="0" collapsed="false">
      <c r="A444" s="2" t="s">
        <v>1623</v>
      </c>
      <c r="B444" s="2" t="s">
        <v>713</v>
      </c>
      <c r="C444" s="4" t="n">
        <v>46277</v>
      </c>
      <c r="D444" s="2" t="s">
        <v>1161</v>
      </c>
      <c r="E444" s="2" t="s">
        <v>1188</v>
      </c>
      <c r="F444" s="2"/>
      <c r="G444" s="4"/>
      <c r="H444" s="2" t="str">
        <f aca="false">IF(C444&gt;CRM_Dashboard!$B$3,"Future-dated",IF(AND(B444=B443,C444&lt;C443),"Date out of sequence",IF(AND(G444&lt;&gt;"",G444&lt;=C444),"Follow-up not after interaction","")))</f>
        <v/>
      </c>
    </row>
    <row r="445" customFormat="false" ht="15" hidden="false" customHeight="false" outlineLevel="0" collapsed="false">
      <c r="A445" s="2" t="s">
        <v>1624</v>
      </c>
      <c r="B445" s="2" t="s">
        <v>713</v>
      </c>
      <c r="C445" s="4" t="n">
        <v>46278</v>
      </c>
      <c r="D445" s="2" t="s">
        <v>1161</v>
      </c>
      <c r="E445" s="2" t="s">
        <v>1162</v>
      </c>
      <c r="F445" s="2" t="s">
        <v>1177</v>
      </c>
      <c r="G445" s="4"/>
      <c r="H445" s="2" t="str">
        <f aca="false">IF(C445&gt;CRM_Dashboard!$B$3,"Future-dated",IF(AND(B445=B444,C445&lt;C444),"Date out of sequence",IF(AND(G445&lt;&gt;"",G445&lt;=C445),"Follow-up not after interaction","")))</f>
        <v/>
      </c>
    </row>
    <row r="446" customFormat="false" ht="15" hidden="false" customHeight="false" outlineLevel="0" collapsed="false">
      <c r="A446" s="2" t="s">
        <v>1625</v>
      </c>
      <c r="B446" s="2" t="s">
        <v>717</v>
      </c>
      <c r="C446" s="4" t="n">
        <v>46252</v>
      </c>
      <c r="D446" s="2" t="s">
        <v>1161</v>
      </c>
      <c r="E446" s="2" t="s">
        <v>1176</v>
      </c>
      <c r="F446" s="2"/>
      <c r="G446" s="4"/>
      <c r="H446" s="2" t="str">
        <f aca="false">IF(C446&gt;CRM_Dashboard!$B$3,"Future-dated",IF(AND(B446=B445,C446&lt;C445),"Date out of sequence",IF(AND(G446&lt;&gt;"",G446&lt;=C446),"Follow-up not after interaction","")))</f>
        <v/>
      </c>
    </row>
    <row r="447" customFormat="false" ht="15" hidden="false" customHeight="false" outlineLevel="0" collapsed="false">
      <c r="A447" s="2" t="s">
        <v>1626</v>
      </c>
      <c r="B447" s="2" t="s">
        <v>717</v>
      </c>
      <c r="C447" s="4" t="n">
        <v>46257</v>
      </c>
      <c r="D447" s="2" t="s">
        <v>1161</v>
      </c>
      <c r="E447" s="2" t="s">
        <v>1167</v>
      </c>
      <c r="F447" s="2" t="s">
        <v>1183</v>
      </c>
      <c r="G447" s="4" t="n">
        <v>46257</v>
      </c>
      <c r="H447" s="2" t="str">
        <f aca="false">IF(C447&gt;CRM_Dashboard!$B$3,"Future-dated",IF(AND(B447=B446,C447&lt;C446),"Date out of sequence",IF(AND(G447&lt;&gt;"",G447&lt;=C447),"Follow-up not after interaction","")))</f>
        <v>Follow-up not after interaction</v>
      </c>
    </row>
    <row r="448" customFormat="false" ht="15" hidden="false" customHeight="false" outlineLevel="0" collapsed="false">
      <c r="A448" s="2" t="s">
        <v>1627</v>
      </c>
      <c r="B448" s="2" t="s">
        <v>720</v>
      </c>
      <c r="C448" s="4" t="n">
        <v>46273</v>
      </c>
      <c r="D448" s="2" t="s">
        <v>1161</v>
      </c>
      <c r="E448" s="2" t="s">
        <v>1162</v>
      </c>
      <c r="F448" s="2"/>
      <c r="G448" s="4"/>
      <c r="H448" s="2" t="str">
        <f aca="false">IF(C448&gt;CRM_Dashboard!$B$3,"Future-dated",IF(AND(B448=B447,C448&lt;C447),"Date out of sequence",IF(AND(G448&lt;&gt;"",G448&lt;=C448),"Follow-up not after interaction","")))</f>
        <v/>
      </c>
    </row>
    <row r="449" customFormat="false" ht="15" hidden="false" customHeight="false" outlineLevel="0" collapsed="false">
      <c r="A449" s="2" t="s">
        <v>1628</v>
      </c>
      <c r="B449" s="2" t="s">
        <v>720</v>
      </c>
      <c r="C449" s="4" t="n">
        <v>46273</v>
      </c>
      <c r="D449" s="2" t="s">
        <v>1161</v>
      </c>
      <c r="E449" s="2" t="s">
        <v>1179</v>
      </c>
      <c r="F449" s="2"/>
      <c r="G449" s="4"/>
      <c r="H449" s="2" t="str">
        <f aca="false">IF(C449&gt;CRM_Dashboard!$B$3,"Future-dated",IF(AND(B449=B448,C449&lt;C448),"Date out of sequence",IF(AND(G449&lt;&gt;"",G449&lt;=C449),"Follow-up not after interaction","")))</f>
        <v/>
      </c>
    </row>
    <row r="450" customFormat="false" ht="15" hidden="false" customHeight="false" outlineLevel="0" collapsed="false">
      <c r="A450" s="2" t="s">
        <v>1629</v>
      </c>
      <c r="B450" s="2" t="s">
        <v>720</v>
      </c>
      <c r="C450" s="4" t="n">
        <v>46281</v>
      </c>
      <c r="D450" s="2" t="s">
        <v>1235</v>
      </c>
      <c r="E450" s="2" t="s">
        <v>1236</v>
      </c>
      <c r="F450" s="2"/>
      <c r="G450" s="4"/>
      <c r="H450" s="2" t="str">
        <f aca="false">IF(C450&gt;CRM_Dashboard!$B$3,"Future-dated",IF(AND(B450=B449,C450&lt;C449),"Date out of sequence",IF(AND(G450&lt;&gt;"",G450&lt;=C450),"Follow-up not after interaction","")))</f>
        <v/>
      </c>
    </row>
    <row r="451" customFormat="false" ht="15" hidden="false" customHeight="false" outlineLevel="0" collapsed="false">
      <c r="A451" s="2" t="s">
        <v>1630</v>
      </c>
      <c r="B451" s="2" t="s">
        <v>720</v>
      </c>
      <c r="C451" s="4" t="n">
        <v>46283</v>
      </c>
      <c r="D451" s="2" t="s">
        <v>1161</v>
      </c>
      <c r="E451" s="2" t="s">
        <v>1171</v>
      </c>
      <c r="F451" s="2" t="s">
        <v>1177</v>
      </c>
      <c r="G451" s="4"/>
      <c r="H451" s="2" t="str">
        <f aca="false">IF(C451&gt;CRM_Dashboard!$B$3,"Future-dated",IF(AND(B451=B450,C451&lt;C450),"Date out of sequence",IF(AND(G451&lt;&gt;"",G451&lt;=C451),"Follow-up not after interaction","")))</f>
        <v/>
      </c>
    </row>
    <row r="452" customFormat="false" ht="15" hidden="false" customHeight="false" outlineLevel="0" collapsed="false">
      <c r="A452" s="2" t="s">
        <v>1631</v>
      </c>
      <c r="B452" s="2" t="s">
        <v>723</v>
      </c>
      <c r="C452" s="4" t="n">
        <v>46223</v>
      </c>
      <c r="D452" s="2" t="s">
        <v>1161</v>
      </c>
      <c r="E452" s="2" t="s">
        <v>1162</v>
      </c>
      <c r="F452" s="2" t="s">
        <v>1209</v>
      </c>
      <c r="G452" s="4"/>
      <c r="H452" s="2" t="str">
        <f aca="false">IF(C452&gt;CRM_Dashboard!$B$3,"Future-dated",IF(AND(B452=B451,C452&lt;C451),"Date out of sequence",IF(AND(G452&lt;&gt;"",G452&lt;=C452),"Follow-up not after interaction","")))</f>
        <v/>
      </c>
    </row>
    <row r="453" customFormat="false" ht="15" hidden="false" customHeight="false" outlineLevel="0" collapsed="false">
      <c r="A453" s="2" t="s">
        <v>1632</v>
      </c>
      <c r="B453" s="2" t="s">
        <v>727</v>
      </c>
      <c r="C453" s="4" t="n">
        <v>46278</v>
      </c>
      <c r="D453" s="2" t="s">
        <v>1161</v>
      </c>
      <c r="E453" s="2" t="s">
        <v>1162</v>
      </c>
      <c r="F453" s="2"/>
      <c r="G453" s="4"/>
      <c r="H453" s="2" t="str">
        <f aca="false">IF(C453&gt;CRM_Dashboard!$B$3,"Future-dated",IF(AND(B453=B452,C453&lt;C452),"Date out of sequence",IF(AND(G453&lt;&gt;"",G453&lt;=C453),"Follow-up not after interaction","")))</f>
        <v/>
      </c>
    </row>
    <row r="454" customFormat="false" ht="15" hidden="false" customHeight="false" outlineLevel="0" collapsed="false">
      <c r="A454" s="2" t="s">
        <v>1633</v>
      </c>
      <c r="B454" s="2" t="s">
        <v>727</v>
      </c>
      <c r="C454" s="4" t="n">
        <v>46278</v>
      </c>
      <c r="D454" s="2" t="s">
        <v>1161</v>
      </c>
      <c r="E454" s="2" t="s">
        <v>1176</v>
      </c>
      <c r="F454" s="2"/>
      <c r="G454" s="4"/>
      <c r="H454" s="2" t="str">
        <f aca="false">IF(C454&gt;CRM_Dashboard!$B$3,"Future-dated",IF(AND(B454=B453,C454&lt;C453),"Date out of sequence",IF(AND(G454&lt;&gt;"",G454&lt;=C454),"Follow-up not after interaction","")))</f>
        <v/>
      </c>
    </row>
    <row r="455" customFormat="false" ht="15" hidden="false" customHeight="false" outlineLevel="0" collapsed="false">
      <c r="A455" s="2" t="s">
        <v>1634</v>
      </c>
      <c r="B455" s="2" t="s">
        <v>727</v>
      </c>
      <c r="C455" s="4" t="n">
        <v>46280</v>
      </c>
      <c r="D455" s="2" t="s">
        <v>1161</v>
      </c>
      <c r="E455" s="2" t="s">
        <v>1162</v>
      </c>
      <c r="F455" s="2"/>
      <c r="G455" s="4"/>
      <c r="H455" s="2" t="str">
        <f aca="false">IF(C455&gt;CRM_Dashboard!$B$3,"Future-dated",IF(AND(B455=B454,C455&lt;C454),"Date out of sequence",IF(AND(G455&lt;&gt;"",G455&lt;=C455),"Follow-up not after interaction","")))</f>
        <v/>
      </c>
    </row>
    <row r="456" customFormat="false" ht="15" hidden="false" customHeight="false" outlineLevel="0" collapsed="false">
      <c r="A456" s="2" t="s">
        <v>1635</v>
      </c>
      <c r="B456" s="2" t="s">
        <v>727</v>
      </c>
      <c r="C456" s="4" t="n">
        <v>46283</v>
      </c>
      <c r="D456" s="2" t="s">
        <v>1161</v>
      </c>
      <c r="E456" s="2" t="s">
        <v>1185</v>
      </c>
      <c r="F456" s="2" t="s">
        <v>1165</v>
      </c>
      <c r="G456" s="4"/>
      <c r="H456" s="2" t="str">
        <f aca="false">IF(C456&gt;CRM_Dashboard!$B$3,"Future-dated",IF(AND(B456=B455,C456&lt;C455),"Date out of sequence",IF(AND(G456&lt;&gt;"",G456&lt;=C456),"Follow-up not after interaction","")))</f>
        <v/>
      </c>
    </row>
    <row r="457" customFormat="false" ht="15" hidden="false" customHeight="false" outlineLevel="0" collapsed="false">
      <c r="A457" s="2" t="s">
        <v>1636</v>
      </c>
      <c r="B457" s="2" t="s">
        <v>731</v>
      </c>
      <c r="C457" s="4" t="n">
        <v>46272</v>
      </c>
      <c r="D457" s="2" t="s">
        <v>1161</v>
      </c>
      <c r="E457" s="2" t="s">
        <v>1162</v>
      </c>
      <c r="F457" s="2"/>
      <c r="G457" s="4"/>
      <c r="H457" s="2" t="str">
        <f aca="false">IF(C457&gt;CRM_Dashboard!$B$3,"Future-dated",IF(AND(B457=B456,C457&lt;C456),"Date out of sequence",IF(AND(G457&lt;&gt;"",G457&lt;=C457),"Follow-up not after interaction","")))</f>
        <v/>
      </c>
    </row>
    <row r="458" customFormat="false" ht="15" hidden="false" customHeight="false" outlineLevel="0" collapsed="false">
      <c r="A458" s="2" t="s">
        <v>1637</v>
      </c>
      <c r="B458" s="2" t="s">
        <v>731</v>
      </c>
      <c r="C458" s="4" t="n">
        <v>46271</v>
      </c>
      <c r="D458" s="2" t="s">
        <v>1161</v>
      </c>
      <c r="E458" s="2" t="s">
        <v>1167</v>
      </c>
      <c r="F458" s="2" t="s">
        <v>1177</v>
      </c>
      <c r="G458" s="4" t="n">
        <v>46277</v>
      </c>
      <c r="H458" s="2" t="str">
        <f aca="false">IF(C458&gt;CRM_Dashboard!$B$3,"Future-dated",IF(AND(B458=B457,C458&lt;C457),"Date out of sequence",IF(AND(G458&lt;&gt;"",G458&lt;=C458),"Follow-up not after interaction","")))</f>
        <v>Date out of sequence</v>
      </c>
    </row>
    <row r="459" customFormat="false" ht="15" hidden="false" customHeight="false" outlineLevel="0" collapsed="false">
      <c r="A459" s="2" t="s">
        <v>1638</v>
      </c>
      <c r="B459" s="2" t="s">
        <v>734</v>
      </c>
      <c r="C459" s="4" t="n">
        <v>46246</v>
      </c>
      <c r="D459" s="2" t="s">
        <v>1161</v>
      </c>
      <c r="E459" s="2" t="s">
        <v>1167</v>
      </c>
      <c r="F459" s="2" t="s">
        <v>1209</v>
      </c>
      <c r="G459" s="4" t="n">
        <v>46243</v>
      </c>
      <c r="H459" s="2" t="str">
        <f aca="false">IF(C459&gt;CRM_Dashboard!$B$3,"Future-dated",IF(AND(B459=B458,C459&lt;C458),"Date out of sequence",IF(AND(G459&lt;&gt;"",G459&lt;=C459),"Follow-up not after interaction","")))</f>
        <v>Follow-up not after interaction</v>
      </c>
    </row>
    <row r="460" customFormat="false" ht="15" hidden="false" customHeight="false" outlineLevel="0" collapsed="false">
      <c r="A460" s="2" t="s">
        <v>1639</v>
      </c>
      <c r="B460" s="2" t="s">
        <v>737</v>
      </c>
      <c r="C460" s="4" t="n">
        <v>46295</v>
      </c>
      <c r="D460" s="2" t="s">
        <v>1161</v>
      </c>
      <c r="E460" s="2" t="s">
        <v>1162</v>
      </c>
      <c r="F460" s="2"/>
      <c r="G460" s="4"/>
      <c r="H460" s="2" t="str">
        <f aca="false">IF(C460&gt;CRM_Dashboard!$B$3,"Future-dated",IF(AND(B460=B459,C460&lt;C459),"Date out of sequence",IF(AND(G460&lt;&gt;"",G460&lt;=C460),"Follow-up not after interaction","")))</f>
        <v>Future-dated</v>
      </c>
    </row>
    <row r="461" customFormat="false" ht="15" hidden="false" customHeight="false" outlineLevel="0" collapsed="false">
      <c r="A461" s="2" t="s">
        <v>1640</v>
      </c>
      <c r="B461" s="2" t="s">
        <v>737</v>
      </c>
      <c r="C461" s="4" t="n">
        <v>46297</v>
      </c>
      <c r="D461" s="2" t="s">
        <v>1161</v>
      </c>
      <c r="E461" s="2" t="s">
        <v>1252</v>
      </c>
      <c r="F461" s="2" t="s">
        <v>1177</v>
      </c>
      <c r="G461" s="4"/>
      <c r="H461" s="2" t="str">
        <f aca="false">IF(C461&gt;CRM_Dashboard!$B$3,"Future-dated",IF(AND(B461=B460,C461&lt;C460),"Date out of sequence",IF(AND(G461&lt;&gt;"",G461&lt;=C461),"Follow-up not after interaction","")))</f>
        <v>Future-dated</v>
      </c>
    </row>
    <row r="462" customFormat="false" ht="15" hidden="false" customHeight="false" outlineLevel="0" collapsed="false">
      <c r="A462" s="2" t="s">
        <v>1641</v>
      </c>
      <c r="B462" s="2" t="s">
        <v>741</v>
      </c>
      <c r="C462" s="4" t="n">
        <v>46296</v>
      </c>
      <c r="D462" s="2" t="s">
        <v>1161</v>
      </c>
      <c r="E462" s="2" t="s">
        <v>1162</v>
      </c>
      <c r="F462" s="2"/>
      <c r="G462" s="4"/>
      <c r="H462" s="2" t="str">
        <f aca="false">IF(C462&gt;CRM_Dashboard!$B$3,"Future-dated",IF(AND(B462=B461,C462&lt;C461),"Date out of sequence",IF(AND(G462&lt;&gt;"",G462&lt;=C462),"Follow-up not after interaction","")))</f>
        <v>Future-dated</v>
      </c>
    </row>
    <row r="463" customFormat="false" ht="15" hidden="false" customHeight="false" outlineLevel="0" collapsed="false">
      <c r="A463" s="2" t="s">
        <v>1642</v>
      </c>
      <c r="B463" s="2" t="s">
        <v>741</v>
      </c>
      <c r="C463" s="4" t="n">
        <v>46295</v>
      </c>
      <c r="D463" s="2" t="s">
        <v>1161</v>
      </c>
      <c r="E463" s="2" t="s">
        <v>1185</v>
      </c>
      <c r="F463" s="2"/>
      <c r="G463" s="4"/>
      <c r="H463" s="2" t="str">
        <f aca="false">IF(C463&gt;CRM_Dashboard!$B$3,"Future-dated",IF(AND(B463=B462,C463&lt;C462),"Date out of sequence",IF(AND(G463&lt;&gt;"",G463&lt;=C463),"Follow-up not after interaction","")))</f>
        <v>Future-dated</v>
      </c>
    </row>
    <row r="464" customFormat="false" ht="15" hidden="false" customHeight="false" outlineLevel="0" collapsed="false">
      <c r="A464" s="2" t="s">
        <v>1643</v>
      </c>
      <c r="B464" s="2" t="s">
        <v>741</v>
      </c>
      <c r="C464" s="4" t="n">
        <v>46294</v>
      </c>
      <c r="D464" s="2" t="s">
        <v>1161</v>
      </c>
      <c r="E464" s="2" t="s">
        <v>1188</v>
      </c>
      <c r="F464" s="2"/>
      <c r="G464" s="4"/>
      <c r="H464" s="2" t="str">
        <f aca="false">IF(C464&gt;CRM_Dashboard!$B$3,"Future-dated",IF(AND(B464=B463,C464&lt;C463),"Date out of sequence",IF(AND(G464&lt;&gt;"",G464&lt;=C464),"Follow-up not after interaction","")))</f>
        <v>Date out of sequence</v>
      </c>
    </row>
    <row r="465" customFormat="false" ht="15" hidden="false" customHeight="false" outlineLevel="0" collapsed="false">
      <c r="A465" s="2" t="s">
        <v>1644</v>
      </c>
      <c r="B465" s="2" t="s">
        <v>741</v>
      </c>
      <c r="C465" s="4" t="n">
        <v>46297</v>
      </c>
      <c r="D465" s="2" t="s">
        <v>1161</v>
      </c>
      <c r="E465" s="2" t="s">
        <v>1173</v>
      </c>
      <c r="F465" s="2" t="s">
        <v>1203</v>
      </c>
      <c r="G465" s="4" t="n">
        <v>46293</v>
      </c>
      <c r="H465" s="2" t="str">
        <f aca="false">IF(C465&gt;CRM_Dashboard!$B$3,"Future-dated",IF(AND(B465=B464,C465&lt;C464),"Date out of sequence",IF(AND(G465&lt;&gt;"",G465&lt;=C465),"Follow-up not after interaction","")))</f>
        <v>Future-dated</v>
      </c>
    </row>
    <row r="466" customFormat="false" ht="15" hidden="false" customHeight="false" outlineLevel="0" collapsed="false">
      <c r="A466" s="2" t="s">
        <v>1645</v>
      </c>
      <c r="B466" s="2" t="s">
        <v>745</v>
      </c>
      <c r="C466" s="4" t="n">
        <v>46245</v>
      </c>
      <c r="D466" s="2" t="s">
        <v>1161</v>
      </c>
      <c r="E466" s="2" t="s">
        <v>1167</v>
      </c>
      <c r="F466" s="2"/>
      <c r="G466" s="4"/>
      <c r="H466" s="2" t="str">
        <f aca="false">IF(C466&gt;CRM_Dashboard!$B$3,"Future-dated",IF(AND(B466=B465,C466&lt;C465),"Date out of sequence",IF(AND(G466&lt;&gt;"",G466&lt;=C466),"Follow-up not after interaction","")))</f>
        <v/>
      </c>
    </row>
    <row r="467" customFormat="false" ht="15" hidden="false" customHeight="false" outlineLevel="0" collapsed="false">
      <c r="A467" s="2" t="s">
        <v>1646</v>
      </c>
      <c r="B467" s="2" t="s">
        <v>745</v>
      </c>
      <c r="C467" s="4" t="n">
        <v>46243</v>
      </c>
      <c r="D467" s="2" t="s">
        <v>1161</v>
      </c>
      <c r="E467" s="2" t="s">
        <v>1167</v>
      </c>
      <c r="F467" s="2" t="s">
        <v>1165</v>
      </c>
      <c r="G467" s="4" t="n">
        <v>46251</v>
      </c>
      <c r="H467" s="2" t="str">
        <f aca="false">IF(C467&gt;CRM_Dashboard!$B$3,"Future-dated",IF(AND(B467=B466,C467&lt;C466),"Date out of sequence",IF(AND(G467&lt;&gt;"",G467&lt;=C467),"Follow-up not after interaction","")))</f>
        <v>Date out of sequence</v>
      </c>
    </row>
    <row r="468" customFormat="false" ht="15" hidden="false" customHeight="false" outlineLevel="0" collapsed="false">
      <c r="A468" s="2" t="s">
        <v>1647</v>
      </c>
      <c r="B468" s="2" t="s">
        <v>748</v>
      </c>
      <c r="C468" s="4" t="n">
        <v>46252</v>
      </c>
      <c r="D468" s="2" t="s">
        <v>1161</v>
      </c>
      <c r="E468" s="2" t="s">
        <v>1162</v>
      </c>
      <c r="F468" s="2" t="s">
        <v>1209</v>
      </c>
      <c r="G468" s="4"/>
      <c r="H468" s="2" t="str">
        <f aca="false">IF(C468&gt;CRM_Dashboard!$B$3,"Future-dated",IF(AND(B468=B467,C468&lt;C467),"Date out of sequence",IF(AND(G468&lt;&gt;"",G468&lt;=C468),"Follow-up not after interaction","")))</f>
        <v/>
      </c>
    </row>
    <row r="469" customFormat="false" ht="15" hidden="false" customHeight="false" outlineLevel="0" collapsed="false">
      <c r="A469" s="2" t="s">
        <v>1648</v>
      </c>
      <c r="B469" s="2" t="s">
        <v>752</v>
      </c>
      <c r="C469" s="4" t="n">
        <v>46263</v>
      </c>
      <c r="D469" s="2" t="s">
        <v>1161</v>
      </c>
      <c r="E469" s="2" t="s">
        <v>1162</v>
      </c>
      <c r="F469" s="2"/>
      <c r="G469" s="4"/>
      <c r="H469" s="2" t="str">
        <f aca="false">IF(C469&gt;CRM_Dashboard!$B$3,"Future-dated",IF(AND(B469=B468,C469&lt;C468),"Date out of sequence",IF(AND(G469&lt;&gt;"",G469&lt;=C469),"Follow-up not after interaction","")))</f>
        <v/>
      </c>
    </row>
    <row r="470" customFormat="false" ht="15" hidden="false" customHeight="false" outlineLevel="0" collapsed="false">
      <c r="A470" s="2" t="s">
        <v>1649</v>
      </c>
      <c r="B470" s="2" t="s">
        <v>752</v>
      </c>
      <c r="C470" s="4" t="n">
        <v>46262</v>
      </c>
      <c r="D470" s="2" t="s">
        <v>1161</v>
      </c>
      <c r="E470" s="2" t="s">
        <v>1176</v>
      </c>
      <c r="F470" s="2"/>
      <c r="G470" s="4"/>
      <c r="H470" s="2" t="str">
        <f aca="false">IF(C470&gt;CRM_Dashboard!$B$3,"Future-dated",IF(AND(B470=B469,C470&lt;C469),"Date out of sequence",IF(AND(G470&lt;&gt;"",G470&lt;=C470),"Follow-up not after interaction","")))</f>
        <v>Date out of sequence</v>
      </c>
    </row>
    <row r="471" customFormat="false" ht="15" hidden="false" customHeight="false" outlineLevel="0" collapsed="false">
      <c r="A471" s="2" t="s">
        <v>1650</v>
      </c>
      <c r="B471" s="2" t="s">
        <v>752</v>
      </c>
      <c r="C471" s="4" t="n">
        <v>46268</v>
      </c>
      <c r="D471" s="2" t="s">
        <v>1161</v>
      </c>
      <c r="E471" s="2" t="s">
        <v>1173</v>
      </c>
      <c r="F471" s="2"/>
      <c r="G471" s="4"/>
      <c r="H471" s="2" t="str">
        <f aca="false">IF(C471&gt;CRM_Dashboard!$B$3,"Future-dated",IF(AND(B471=B470,C471&lt;C470),"Date out of sequence",IF(AND(G471&lt;&gt;"",G471&lt;=C471),"Follow-up not after interaction","")))</f>
        <v/>
      </c>
    </row>
    <row r="472" customFormat="false" ht="15" hidden="false" customHeight="false" outlineLevel="0" collapsed="false">
      <c r="A472" s="2" t="s">
        <v>1651</v>
      </c>
      <c r="B472" s="2" t="s">
        <v>752</v>
      </c>
      <c r="C472" s="4" t="n">
        <v>46269</v>
      </c>
      <c r="D472" s="2" t="s">
        <v>1161</v>
      </c>
      <c r="E472" s="2" t="s">
        <v>1162</v>
      </c>
      <c r="F472" s="2" t="s">
        <v>1165</v>
      </c>
      <c r="G472" s="4"/>
      <c r="H472" s="2" t="str">
        <f aca="false">IF(C472&gt;CRM_Dashboard!$B$3,"Future-dated",IF(AND(B472=B471,C472&lt;C471),"Date out of sequence",IF(AND(G472&lt;&gt;"",G472&lt;=C472),"Follow-up not after interaction","")))</f>
        <v/>
      </c>
    </row>
    <row r="473" customFormat="false" ht="15" hidden="false" customHeight="false" outlineLevel="0" collapsed="false">
      <c r="A473" s="2" t="s">
        <v>1652</v>
      </c>
      <c r="B473" s="2" t="s">
        <v>756</v>
      </c>
      <c r="C473" s="4" t="n">
        <v>46227</v>
      </c>
      <c r="D473" s="2" t="s">
        <v>1161</v>
      </c>
      <c r="E473" s="2" t="s">
        <v>1188</v>
      </c>
      <c r="F473" s="2"/>
      <c r="G473" s="4"/>
      <c r="H473" s="2" t="str">
        <f aca="false">IF(C473&gt;CRM_Dashboard!$B$3,"Future-dated",IF(AND(B473=B472,C473&lt;C472),"Date out of sequence",IF(AND(G473&lt;&gt;"",G473&lt;=C473),"Follow-up not after interaction","")))</f>
        <v/>
      </c>
    </row>
    <row r="474" customFormat="false" ht="15" hidden="false" customHeight="false" outlineLevel="0" collapsed="false">
      <c r="A474" s="2" t="s">
        <v>1653</v>
      </c>
      <c r="B474" s="2" t="s">
        <v>756</v>
      </c>
      <c r="C474" s="4" t="n">
        <v>46223</v>
      </c>
      <c r="D474" s="2" t="s">
        <v>1161</v>
      </c>
      <c r="E474" s="2" t="s">
        <v>1167</v>
      </c>
      <c r="F474" s="2"/>
      <c r="G474" s="4"/>
      <c r="H474" s="2" t="str">
        <f aca="false">IF(C474&gt;CRM_Dashboard!$B$3,"Future-dated",IF(AND(B474=B473,C474&lt;C473),"Date out of sequence",IF(AND(G474&lt;&gt;"",G474&lt;=C474),"Follow-up not after interaction","")))</f>
        <v>Date out of sequence</v>
      </c>
    </row>
    <row r="475" customFormat="false" ht="15" hidden="false" customHeight="false" outlineLevel="0" collapsed="false">
      <c r="A475" s="2" t="s">
        <v>1654</v>
      </c>
      <c r="B475" s="2" t="s">
        <v>756</v>
      </c>
      <c r="C475" s="4" t="n">
        <v>46229</v>
      </c>
      <c r="D475" s="2" t="s">
        <v>1161</v>
      </c>
      <c r="E475" s="2" t="s">
        <v>1188</v>
      </c>
      <c r="F475" s="2"/>
      <c r="G475" s="4"/>
      <c r="H475" s="2" t="str">
        <f aca="false">IF(C475&gt;CRM_Dashboard!$B$3,"Future-dated",IF(AND(B475=B474,C475&lt;C474),"Date out of sequence",IF(AND(G475&lt;&gt;"",G475&lt;=C475),"Follow-up not after interaction","")))</f>
        <v/>
      </c>
    </row>
    <row r="476" customFormat="false" ht="15" hidden="false" customHeight="false" outlineLevel="0" collapsed="false">
      <c r="A476" s="2" t="s">
        <v>1655</v>
      </c>
      <c r="B476" s="2" t="s">
        <v>756</v>
      </c>
      <c r="C476" s="4" t="n">
        <v>46228</v>
      </c>
      <c r="D476" s="2" t="s">
        <v>1161</v>
      </c>
      <c r="E476" s="2" t="s">
        <v>1173</v>
      </c>
      <c r="F476" s="2" t="s">
        <v>1165</v>
      </c>
      <c r="G476" s="4" t="n">
        <v>46224</v>
      </c>
      <c r="H476" s="2" t="str">
        <f aca="false">IF(C476&gt;CRM_Dashboard!$B$3,"Future-dated",IF(AND(B476=B475,C476&lt;C475),"Date out of sequence",IF(AND(G476&lt;&gt;"",G476&lt;=C476),"Follow-up not after interaction","")))</f>
        <v>Date out of sequence</v>
      </c>
    </row>
    <row r="477" customFormat="false" ht="15" hidden="false" customHeight="false" outlineLevel="0" collapsed="false">
      <c r="A477" s="2" t="s">
        <v>1656</v>
      </c>
      <c r="B477" s="2" t="s">
        <v>760</v>
      </c>
      <c r="C477" s="4" t="n">
        <v>46265</v>
      </c>
      <c r="D477" s="2" t="s">
        <v>1161</v>
      </c>
      <c r="E477" s="2" t="s">
        <v>1162</v>
      </c>
      <c r="F477" s="2"/>
      <c r="G477" s="4"/>
      <c r="H477" s="2" t="str">
        <f aca="false">IF(C477&gt;CRM_Dashboard!$B$3,"Future-dated",IF(AND(B477=B476,C477&lt;C476),"Date out of sequence",IF(AND(G477&lt;&gt;"",G477&lt;=C477),"Follow-up not after interaction","")))</f>
        <v/>
      </c>
    </row>
    <row r="478" customFormat="false" ht="15" hidden="false" customHeight="false" outlineLevel="0" collapsed="false">
      <c r="A478" s="2" t="s">
        <v>1657</v>
      </c>
      <c r="B478" s="2" t="s">
        <v>760</v>
      </c>
      <c r="C478" s="4" t="n">
        <v>46261</v>
      </c>
      <c r="D478" s="2" t="s">
        <v>1161</v>
      </c>
      <c r="E478" s="2" t="s">
        <v>1162</v>
      </c>
      <c r="F478" s="2"/>
      <c r="G478" s="4"/>
      <c r="H478" s="2" t="str">
        <f aca="false">IF(C478&gt;CRM_Dashboard!$B$3,"Future-dated",IF(AND(B478=B477,C478&lt;C477),"Date out of sequence",IF(AND(G478&lt;&gt;"",G478&lt;=C478),"Follow-up not after interaction","")))</f>
        <v>Date out of sequence</v>
      </c>
    </row>
    <row r="479" customFormat="false" ht="15" hidden="false" customHeight="false" outlineLevel="0" collapsed="false">
      <c r="A479" s="2" t="s">
        <v>1658</v>
      </c>
      <c r="B479" s="2" t="s">
        <v>760</v>
      </c>
      <c r="C479" s="4" t="n">
        <v>46264</v>
      </c>
      <c r="D479" s="2" t="s">
        <v>1161</v>
      </c>
      <c r="E479" s="2" t="s">
        <v>1176</v>
      </c>
      <c r="F479" s="2"/>
      <c r="G479" s="4"/>
      <c r="H479" s="2" t="str">
        <f aca="false">IF(C479&gt;CRM_Dashboard!$B$3,"Future-dated",IF(AND(B479=B478,C479&lt;C478),"Date out of sequence",IF(AND(G479&lt;&gt;"",G479&lt;=C479),"Follow-up not after interaction","")))</f>
        <v/>
      </c>
    </row>
    <row r="480" customFormat="false" ht="15" hidden="false" customHeight="false" outlineLevel="0" collapsed="false">
      <c r="A480" s="2" t="s">
        <v>1659</v>
      </c>
      <c r="B480" s="2" t="s">
        <v>760</v>
      </c>
      <c r="C480" s="4" t="n">
        <v>46270</v>
      </c>
      <c r="D480" s="2" t="s">
        <v>1161</v>
      </c>
      <c r="E480" s="2" t="s">
        <v>1167</v>
      </c>
      <c r="F480" s="2" t="s">
        <v>1177</v>
      </c>
      <c r="G480" s="4" t="n">
        <v>46268</v>
      </c>
      <c r="H480" s="2" t="str">
        <f aca="false">IF(C480&gt;CRM_Dashboard!$B$3,"Future-dated",IF(AND(B480=B479,C480&lt;C479),"Date out of sequence",IF(AND(G480&lt;&gt;"",G480&lt;=C480),"Follow-up not after interaction","")))</f>
        <v>Follow-up not after interaction</v>
      </c>
    </row>
    <row r="481" customFormat="false" ht="15" hidden="false" customHeight="false" outlineLevel="0" collapsed="false">
      <c r="A481" s="2" t="s">
        <v>1660</v>
      </c>
      <c r="B481" s="2" t="s">
        <v>764</v>
      </c>
      <c r="C481" s="4" t="n">
        <v>46226</v>
      </c>
      <c r="D481" s="2" t="s">
        <v>1161</v>
      </c>
      <c r="E481" s="2" t="s">
        <v>1162</v>
      </c>
      <c r="F481" s="2"/>
      <c r="G481" s="4"/>
      <c r="H481" s="2" t="str">
        <f aca="false">IF(C481&gt;CRM_Dashboard!$B$3,"Future-dated",IF(AND(B481=B480,C481&lt;C480),"Date out of sequence",IF(AND(G481&lt;&gt;"",G481&lt;=C481),"Follow-up not after interaction","")))</f>
        <v/>
      </c>
    </row>
    <row r="482" customFormat="false" ht="15" hidden="false" customHeight="false" outlineLevel="0" collapsed="false">
      <c r="A482" s="2" t="s">
        <v>1661</v>
      </c>
      <c r="B482" s="2" t="s">
        <v>764</v>
      </c>
      <c r="C482" s="4" t="n">
        <v>46231</v>
      </c>
      <c r="D482" s="2" t="s">
        <v>1161</v>
      </c>
      <c r="E482" s="2" t="s">
        <v>1162</v>
      </c>
      <c r="F482" s="2"/>
      <c r="G482" s="4"/>
      <c r="H482" s="2" t="str">
        <f aca="false">IF(C482&gt;CRM_Dashboard!$B$3,"Future-dated",IF(AND(B482=B481,C482&lt;C481),"Date out of sequence",IF(AND(G482&lt;&gt;"",G482&lt;=C482),"Follow-up not after interaction","")))</f>
        <v/>
      </c>
    </row>
    <row r="483" customFormat="false" ht="15" hidden="false" customHeight="false" outlineLevel="0" collapsed="false">
      <c r="A483" s="2" t="s">
        <v>1662</v>
      </c>
      <c r="B483" s="2" t="s">
        <v>764</v>
      </c>
      <c r="C483" s="4" t="n">
        <v>46233</v>
      </c>
      <c r="D483" s="2" t="s">
        <v>1161</v>
      </c>
      <c r="E483" s="2" t="s">
        <v>1162</v>
      </c>
      <c r="F483" s="2"/>
      <c r="G483" s="4"/>
      <c r="H483" s="2" t="str">
        <f aca="false">IF(C483&gt;CRM_Dashboard!$B$3,"Future-dated",IF(AND(B483=B482,C483&lt;C482),"Date out of sequence",IF(AND(G483&lt;&gt;"",G483&lt;=C483),"Follow-up not after interaction","")))</f>
        <v/>
      </c>
    </row>
    <row r="484" customFormat="false" ht="15" hidden="false" customHeight="false" outlineLevel="0" collapsed="false">
      <c r="A484" s="2" t="s">
        <v>1663</v>
      </c>
      <c r="B484" s="2" t="s">
        <v>764</v>
      </c>
      <c r="C484" s="4" t="n">
        <v>46227</v>
      </c>
      <c r="D484" s="2" t="s">
        <v>1161</v>
      </c>
      <c r="E484" s="2" t="s">
        <v>1162</v>
      </c>
      <c r="F484" s="2" t="s">
        <v>1183</v>
      </c>
      <c r="G484" s="4"/>
      <c r="H484" s="2" t="str">
        <f aca="false">IF(C484&gt;CRM_Dashboard!$B$3,"Future-dated",IF(AND(B484=B483,C484&lt;C483),"Date out of sequence",IF(AND(G484&lt;&gt;"",G484&lt;=C484),"Follow-up not after interaction","")))</f>
        <v>Date out of sequence</v>
      </c>
    </row>
    <row r="485" customFormat="false" ht="15" hidden="false" customHeight="false" outlineLevel="0" collapsed="false">
      <c r="A485" s="2" t="s">
        <v>1664</v>
      </c>
      <c r="B485" s="2" t="s">
        <v>767</v>
      </c>
      <c r="C485" s="4" t="n">
        <v>46287</v>
      </c>
      <c r="D485" s="2" t="s">
        <v>1161</v>
      </c>
      <c r="E485" s="2" t="s">
        <v>1167</v>
      </c>
      <c r="F485" s="2"/>
      <c r="G485" s="4"/>
      <c r="H485" s="2" t="str">
        <f aca="false">IF(C485&gt;CRM_Dashboard!$B$3,"Future-dated",IF(AND(B485=B484,C485&lt;C484),"Date out of sequence",IF(AND(G485&lt;&gt;"",G485&lt;=C485),"Follow-up not after interaction","")))</f>
        <v/>
      </c>
    </row>
    <row r="486" customFormat="false" ht="15" hidden="false" customHeight="false" outlineLevel="0" collapsed="false">
      <c r="A486" s="2" t="s">
        <v>1665</v>
      </c>
      <c r="B486" s="2" t="s">
        <v>767</v>
      </c>
      <c r="C486" s="4" t="n">
        <v>46285</v>
      </c>
      <c r="D486" s="2" t="s">
        <v>1161</v>
      </c>
      <c r="E486" s="2" t="s">
        <v>1162</v>
      </c>
      <c r="F486" s="2"/>
      <c r="G486" s="4"/>
      <c r="H486" s="2" t="str">
        <f aca="false">IF(C486&gt;CRM_Dashboard!$B$3,"Future-dated",IF(AND(B486=B485,C486&lt;C485),"Date out of sequence",IF(AND(G486&lt;&gt;"",G486&lt;=C486),"Follow-up not after interaction","")))</f>
        <v>Date out of sequence</v>
      </c>
    </row>
    <row r="487" customFormat="false" ht="15" hidden="false" customHeight="false" outlineLevel="0" collapsed="false">
      <c r="A487" s="2" t="s">
        <v>1666</v>
      </c>
      <c r="B487" s="2" t="s">
        <v>767</v>
      </c>
      <c r="C487" s="4" t="n">
        <v>46286</v>
      </c>
      <c r="D487" s="2" t="s">
        <v>1161</v>
      </c>
      <c r="E487" s="2" t="s">
        <v>1162</v>
      </c>
      <c r="F487" s="2"/>
      <c r="G487" s="4"/>
      <c r="H487" s="2" t="str">
        <f aca="false">IF(C487&gt;CRM_Dashboard!$B$3,"Future-dated",IF(AND(B487=B486,C487&lt;C486),"Date out of sequence",IF(AND(G487&lt;&gt;"",G487&lt;=C487),"Follow-up not after interaction","")))</f>
        <v/>
      </c>
    </row>
    <row r="488" customFormat="false" ht="15" hidden="false" customHeight="false" outlineLevel="0" collapsed="false">
      <c r="A488" s="2" t="s">
        <v>1667</v>
      </c>
      <c r="B488" s="2" t="s">
        <v>767</v>
      </c>
      <c r="C488" s="4" t="n">
        <v>46293</v>
      </c>
      <c r="D488" s="2" t="s">
        <v>1161</v>
      </c>
      <c r="E488" s="2" t="s">
        <v>1173</v>
      </c>
      <c r="F488" s="2" t="s">
        <v>1203</v>
      </c>
      <c r="G488" s="4" t="n">
        <v>46290</v>
      </c>
      <c r="H488" s="2" t="str">
        <f aca="false">IF(C488&gt;CRM_Dashboard!$B$3,"Future-dated",IF(AND(B488=B487,C488&lt;C487),"Date out of sequence",IF(AND(G488&lt;&gt;"",G488&lt;=C488),"Follow-up not after interaction","")))</f>
        <v>Follow-up not after interaction</v>
      </c>
    </row>
    <row r="489" customFormat="false" ht="15" hidden="false" customHeight="false" outlineLevel="0" collapsed="false">
      <c r="A489" s="2" t="s">
        <v>1668</v>
      </c>
      <c r="B489" s="2" t="s">
        <v>770</v>
      </c>
      <c r="C489" s="4" t="n">
        <v>46291</v>
      </c>
      <c r="D489" s="2" t="s">
        <v>1161</v>
      </c>
      <c r="E489" s="2" t="s">
        <v>1173</v>
      </c>
      <c r="F489" s="2"/>
      <c r="G489" s="4"/>
      <c r="H489" s="2" t="str">
        <f aca="false">IF(C489&gt;CRM_Dashboard!$B$3,"Future-dated",IF(AND(B489=B488,C489&lt;C488),"Date out of sequence",IF(AND(G489&lt;&gt;"",G489&lt;=C489),"Follow-up not after interaction","")))</f>
        <v/>
      </c>
    </row>
    <row r="490" customFormat="false" ht="15" hidden="false" customHeight="false" outlineLevel="0" collapsed="false">
      <c r="A490" s="2" t="s">
        <v>1669</v>
      </c>
      <c r="B490" s="2" t="s">
        <v>770</v>
      </c>
      <c r="C490" s="4" t="n">
        <v>46292</v>
      </c>
      <c r="D490" s="2" t="s">
        <v>1161</v>
      </c>
      <c r="E490" s="2" t="s">
        <v>1167</v>
      </c>
      <c r="F490" s="2" t="s">
        <v>1174</v>
      </c>
      <c r="G490" s="4" t="n">
        <v>46295</v>
      </c>
      <c r="H490" s="2" t="str">
        <f aca="false">IF(C490&gt;CRM_Dashboard!$B$3,"Future-dated",IF(AND(B490=B489,C490&lt;C489),"Date out of sequence",IF(AND(G490&lt;&gt;"",G490&lt;=C490),"Follow-up not after interaction","")))</f>
        <v/>
      </c>
    </row>
    <row r="491" customFormat="false" ht="15" hidden="false" customHeight="false" outlineLevel="0" collapsed="false">
      <c r="A491" s="2" t="s">
        <v>1670</v>
      </c>
      <c r="B491" s="2" t="s">
        <v>774</v>
      </c>
      <c r="C491" s="4" t="n">
        <v>46236</v>
      </c>
      <c r="D491" s="2" t="s">
        <v>1161</v>
      </c>
      <c r="E491" s="2" t="s">
        <v>1173</v>
      </c>
      <c r="F491" s="2"/>
      <c r="G491" s="4"/>
      <c r="H491" s="2" t="str">
        <f aca="false">IF(C491&gt;CRM_Dashboard!$B$3,"Future-dated",IF(AND(B491=B490,C491&lt;C490),"Date out of sequence",IF(AND(G491&lt;&gt;"",G491&lt;=C491),"Follow-up not after interaction","")))</f>
        <v/>
      </c>
    </row>
    <row r="492" customFormat="false" ht="15" hidden="false" customHeight="false" outlineLevel="0" collapsed="false">
      <c r="A492" s="2" t="s">
        <v>1671</v>
      </c>
      <c r="B492" s="2" t="s">
        <v>774</v>
      </c>
      <c r="C492" s="4" t="n">
        <v>46240</v>
      </c>
      <c r="D492" s="2" t="s">
        <v>1161</v>
      </c>
      <c r="E492" s="2" t="s">
        <v>1252</v>
      </c>
      <c r="F492" s="2"/>
      <c r="G492" s="4"/>
      <c r="H492" s="2" t="str">
        <f aca="false">IF(C492&gt;CRM_Dashboard!$B$3,"Future-dated",IF(AND(B492=B491,C492&lt;C491),"Date out of sequence",IF(AND(G492&lt;&gt;"",G492&lt;=C492),"Follow-up not after interaction","")))</f>
        <v/>
      </c>
    </row>
    <row r="493" customFormat="false" ht="15" hidden="false" customHeight="false" outlineLevel="0" collapsed="false">
      <c r="A493" s="2" t="s">
        <v>1672</v>
      </c>
      <c r="B493" s="2" t="s">
        <v>774</v>
      </c>
      <c r="C493" s="4" t="n">
        <v>46242</v>
      </c>
      <c r="D493" s="2" t="s">
        <v>1161</v>
      </c>
      <c r="E493" s="2" t="s">
        <v>1176</v>
      </c>
      <c r="F493" s="2" t="s">
        <v>1209</v>
      </c>
      <c r="G493" s="4" t="n">
        <v>46245</v>
      </c>
      <c r="H493" s="2" t="str">
        <f aca="false">IF(C493&gt;CRM_Dashboard!$B$3,"Future-dated",IF(AND(B493=B492,C493&lt;C492),"Date out of sequence",IF(AND(G493&lt;&gt;"",G493&lt;=C493),"Follow-up not after interaction","")))</f>
        <v/>
      </c>
    </row>
    <row r="494" customFormat="false" ht="15" hidden="false" customHeight="false" outlineLevel="0" collapsed="false">
      <c r="A494" s="2" t="s">
        <v>1673</v>
      </c>
      <c r="B494" s="2" t="s">
        <v>778</v>
      </c>
      <c r="C494" s="4" t="n">
        <v>46232</v>
      </c>
      <c r="D494" s="2" t="s">
        <v>1161</v>
      </c>
      <c r="E494" s="2" t="s">
        <v>1252</v>
      </c>
      <c r="F494" s="2"/>
      <c r="G494" s="4"/>
      <c r="H494" s="2" t="str">
        <f aca="false">IF(C494&gt;CRM_Dashboard!$B$3,"Future-dated",IF(AND(B494=B493,C494&lt;C493),"Date out of sequence",IF(AND(G494&lt;&gt;"",G494&lt;=C494),"Follow-up not after interaction","")))</f>
        <v/>
      </c>
    </row>
    <row r="495" customFormat="false" ht="15" hidden="false" customHeight="false" outlineLevel="0" collapsed="false">
      <c r="A495" s="2" t="s">
        <v>1674</v>
      </c>
      <c r="B495" s="2" t="s">
        <v>778</v>
      </c>
      <c r="C495" s="4" t="n">
        <v>46230</v>
      </c>
      <c r="D495" s="2" t="s">
        <v>1161</v>
      </c>
      <c r="E495" s="2" t="s">
        <v>1252</v>
      </c>
      <c r="F495" s="2"/>
      <c r="G495" s="4"/>
      <c r="H495" s="2" t="str">
        <f aca="false">IF(C495&gt;CRM_Dashboard!$B$3,"Future-dated",IF(AND(B495=B494,C495&lt;C494),"Date out of sequence",IF(AND(G495&lt;&gt;"",G495&lt;=C495),"Follow-up not after interaction","")))</f>
        <v>Date out of sequence</v>
      </c>
    </row>
    <row r="496" customFormat="false" ht="15" hidden="false" customHeight="false" outlineLevel="0" collapsed="false">
      <c r="A496" s="2" t="s">
        <v>1675</v>
      </c>
      <c r="B496" s="2" t="s">
        <v>778</v>
      </c>
      <c r="C496" s="4" t="n">
        <v>46233</v>
      </c>
      <c r="D496" s="2" t="s">
        <v>1161</v>
      </c>
      <c r="E496" s="2" t="s">
        <v>1162</v>
      </c>
      <c r="F496" s="2"/>
      <c r="G496" s="4"/>
      <c r="H496" s="2" t="str">
        <f aca="false">IF(C496&gt;CRM_Dashboard!$B$3,"Future-dated",IF(AND(B496=B495,C496&lt;C495),"Date out of sequence",IF(AND(G496&lt;&gt;"",G496&lt;=C496),"Follow-up not after interaction","")))</f>
        <v/>
      </c>
    </row>
    <row r="497" customFormat="false" ht="15" hidden="false" customHeight="false" outlineLevel="0" collapsed="false">
      <c r="A497" s="2" t="s">
        <v>1676</v>
      </c>
      <c r="B497" s="2" t="s">
        <v>778</v>
      </c>
      <c r="C497" s="4" t="n">
        <v>46237</v>
      </c>
      <c r="D497" s="2" t="s">
        <v>1161</v>
      </c>
      <c r="E497" s="2" t="s">
        <v>1252</v>
      </c>
      <c r="F497" s="2" t="s">
        <v>1168</v>
      </c>
      <c r="G497" s="4"/>
      <c r="H497" s="2" t="str">
        <f aca="false">IF(C497&gt;CRM_Dashboard!$B$3,"Future-dated",IF(AND(B497=B496,C497&lt;C496),"Date out of sequence",IF(AND(G497&lt;&gt;"",G497&lt;=C497),"Follow-up not after interaction","")))</f>
        <v/>
      </c>
    </row>
    <row r="498" customFormat="false" ht="15" hidden="false" customHeight="false" outlineLevel="0" collapsed="false">
      <c r="A498" s="2" t="s">
        <v>1677</v>
      </c>
      <c r="B498" s="2" t="s">
        <v>781</v>
      </c>
      <c r="C498" s="4" t="n">
        <v>46253</v>
      </c>
      <c r="D498" s="2" t="s">
        <v>1161</v>
      </c>
      <c r="E498" s="2" t="s">
        <v>1176</v>
      </c>
      <c r="F498" s="2" t="s">
        <v>1183</v>
      </c>
      <c r="G498" s="4" t="n">
        <v>46262</v>
      </c>
      <c r="H498" s="2" t="str">
        <f aca="false">IF(C498&gt;CRM_Dashboard!$B$3,"Future-dated",IF(AND(B498=B497,C498&lt;C497),"Date out of sequence",IF(AND(G498&lt;&gt;"",G498&lt;=C498),"Follow-up not after interaction","")))</f>
        <v/>
      </c>
    </row>
    <row r="499" customFormat="false" ht="15" hidden="false" customHeight="false" outlineLevel="0" collapsed="false">
      <c r="A499" s="2" t="s">
        <v>1678</v>
      </c>
      <c r="B499" s="2" t="s">
        <v>784</v>
      </c>
      <c r="C499" s="4" t="n">
        <v>46272</v>
      </c>
      <c r="D499" s="2" t="s">
        <v>1161</v>
      </c>
      <c r="E499" s="2" t="s">
        <v>1162</v>
      </c>
      <c r="F499" s="2" t="s">
        <v>1203</v>
      </c>
      <c r="G499" s="4"/>
      <c r="H499" s="2" t="str">
        <f aca="false">IF(C499&gt;CRM_Dashboard!$B$3,"Future-dated",IF(AND(B499=B498,C499&lt;C498),"Date out of sequence",IF(AND(G499&lt;&gt;"",G499&lt;=C499),"Follow-up not after interaction","")))</f>
        <v/>
      </c>
    </row>
    <row r="500" customFormat="false" ht="15" hidden="false" customHeight="false" outlineLevel="0" collapsed="false">
      <c r="A500" s="2" t="s">
        <v>1679</v>
      </c>
      <c r="B500" s="2" t="s">
        <v>788</v>
      </c>
      <c r="C500" s="4" t="n">
        <v>46261</v>
      </c>
      <c r="D500" s="2" t="s">
        <v>1161</v>
      </c>
      <c r="E500" s="2" t="s">
        <v>1162</v>
      </c>
      <c r="F500" s="2" t="s">
        <v>1203</v>
      </c>
      <c r="G500" s="4"/>
      <c r="H500" s="2" t="str">
        <f aca="false">IF(C500&gt;CRM_Dashboard!$B$3,"Future-dated",IF(AND(B500=B499,C500&lt;C499),"Date out of sequence",IF(AND(G500&lt;&gt;"",G500&lt;=C500),"Follow-up not after interaction","")))</f>
        <v/>
      </c>
    </row>
    <row r="501" customFormat="false" ht="15" hidden="false" customHeight="false" outlineLevel="0" collapsed="false">
      <c r="A501" s="2" t="s">
        <v>1680</v>
      </c>
      <c r="B501" s="2" t="s">
        <v>791</v>
      </c>
      <c r="C501" s="4" t="n">
        <v>46292</v>
      </c>
      <c r="D501" s="2" t="s">
        <v>1161</v>
      </c>
      <c r="E501" s="2" t="s">
        <v>1173</v>
      </c>
      <c r="F501" s="2"/>
      <c r="G501" s="4"/>
      <c r="H501" s="2" t="str">
        <f aca="false">IF(C501&gt;CRM_Dashboard!$B$3,"Future-dated",IF(AND(B501=B500,C501&lt;C500),"Date out of sequence",IF(AND(G501&lt;&gt;"",G501&lt;=C501),"Follow-up not after interaction","")))</f>
        <v/>
      </c>
    </row>
    <row r="502" customFormat="false" ht="15" hidden="false" customHeight="false" outlineLevel="0" collapsed="false">
      <c r="A502" s="2" t="s">
        <v>1681</v>
      </c>
      <c r="B502" s="2" t="s">
        <v>791</v>
      </c>
      <c r="C502" s="4" t="n">
        <v>46291</v>
      </c>
      <c r="D502" s="2" t="s">
        <v>1161</v>
      </c>
      <c r="E502" s="2" t="s">
        <v>1162</v>
      </c>
      <c r="F502" s="2" t="s">
        <v>1183</v>
      </c>
      <c r="G502" s="4"/>
      <c r="H502" s="2" t="str">
        <f aca="false">IF(C502&gt;CRM_Dashboard!$B$3,"Future-dated",IF(AND(B502=B501,C502&lt;C501),"Date out of sequence",IF(AND(G502&lt;&gt;"",G502&lt;=C502),"Follow-up not after interaction","")))</f>
        <v>Date out of sequence</v>
      </c>
    </row>
    <row r="503" customFormat="false" ht="15" hidden="false" customHeight="false" outlineLevel="0" collapsed="false">
      <c r="A503" s="2" t="s">
        <v>1682</v>
      </c>
      <c r="B503" s="2" t="s">
        <v>794</v>
      </c>
      <c r="C503" s="4" t="n">
        <v>46230</v>
      </c>
      <c r="D503" s="2" t="s">
        <v>1161</v>
      </c>
      <c r="E503" s="2" t="s">
        <v>1173</v>
      </c>
      <c r="F503" s="2"/>
      <c r="G503" s="4"/>
      <c r="H503" s="2" t="str">
        <f aca="false">IF(C503&gt;CRM_Dashboard!$B$3,"Future-dated",IF(AND(B503=B502,C503&lt;C502),"Date out of sequence",IF(AND(G503&lt;&gt;"",G503&lt;=C503),"Follow-up not after interaction","")))</f>
        <v/>
      </c>
    </row>
    <row r="504" customFormat="false" ht="15" hidden="false" customHeight="false" outlineLevel="0" collapsed="false">
      <c r="A504" s="2" t="s">
        <v>1683</v>
      </c>
      <c r="B504" s="2" t="s">
        <v>794</v>
      </c>
      <c r="C504" s="4" t="n">
        <v>46235</v>
      </c>
      <c r="D504" s="2" t="s">
        <v>1161</v>
      </c>
      <c r="E504" s="2" t="s">
        <v>1162</v>
      </c>
      <c r="F504" s="2"/>
      <c r="G504" s="4"/>
      <c r="H504" s="2" t="str">
        <f aca="false">IF(C504&gt;CRM_Dashboard!$B$3,"Future-dated",IF(AND(B504=B503,C504&lt;C503),"Date out of sequence",IF(AND(G504&lt;&gt;"",G504&lt;=C504),"Follow-up not after interaction","")))</f>
        <v/>
      </c>
    </row>
    <row r="505" customFormat="false" ht="15" hidden="false" customHeight="false" outlineLevel="0" collapsed="false">
      <c r="A505" s="2" t="s">
        <v>1684</v>
      </c>
      <c r="B505" s="2" t="s">
        <v>794</v>
      </c>
      <c r="C505" s="4" t="n">
        <v>46233</v>
      </c>
      <c r="D505" s="2" t="s">
        <v>1161</v>
      </c>
      <c r="E505" s="2" t="s">
        <v>1188</v>
      </c>
      <c r="F505" s="2"/>
      <c r="G505" s="4"/>
      <c r="H505" s="2" t="str">
        <f aca="false">IF(C505&gt;CRM_Dashboard!$B$3,"Future-dated",IF(AND(B505=B504,C505&lt;C504),"Date out of sequence",IF(AND(G505&lt;&gt;"",G505&lt;=C505),"Follow-up not after interaction","")))</f>
        <v>Date out of sequence</v>
      </c>
    </row>
    <row r="506" customFormat="false" ht="15" hidden="false" customHeight="false" outlineLevel="0" collapsed="false">
      <c r="A506" s="2" t="s">
        <v>1685</v>
      </c>
      <c r="B506" s="2" t="s">
        <v>794</v>
      </c>
      <c r="C506" s="4" t="n">
        <v>46238</v>
      </c>
      <c r="D506" s="2" t="s">
        <v>1161</v>
      </c>
      <c r="E506" s="2" t="s">
        <v>1176</v>
      </c>
      <c r="F506" s="2" t="s">
        <v>1165</v>
      </c>
      <c r="G506" s="4" t="n">
        <v>46231</v>
      </c>
      <c r="H506" s="2" t="str">
        <f aca="false">IF(C506&gt;CRM_Dashboard!$B$3,"Future-dated",IF(AND(B506=B505,C506&lt;C505),"Date out of sequence",IF(AND(G506&lt;&gt;"",G506&lt;=C506),"Follow-up not after interaction","")))</f>
        <v>Follow-up not after interaction</v>
      </c>
    </row>
    <row r="507" customFormat="false" ht="15" hidden="false" customHeight="false" outlineLevel="0" collapsed="false">
      <c r="A507" s="2" t="s">
        <v>1686</v>
      </c>
      <c r="B507" s="2" t="s">
        <v>797</v>
      </c>
      <c r="C507" s="4" t="n">
        <v>46227</v>
      </c>
      <c r="D507" s="2" t="s">
        <v>1161</v>
      </c>
      <c r="E507" s="2" t="s">
        <v>1176</v>
      </c>
      <c r="F507" s="2"/>
      <c r="G507" s="4"/>
      <c r="H507" s="2" t="str">
        <f aca="false">IF(C507&gt;CRM_Dashboard!$B$3,"Future-dated",IF(AND(B507=B506,C507&lt;C506),"Date out of sequence",IF(AND(G507&lt;&gt;"",G507&lt;=C507),"Follow-up not after interaction","")))</f>
        <v/>
      </c>
    </row>
    <row r="508" customFormat="false" ht="15" hidden="false" customHeight="false" outlineLevel="0" collapsed="false">
      <c r="A508" s="2" t="s">
        <v>1687</v>
      </c>
      <c r="B508" s="2" t="s">
        <v>797</v>
      </c>
      <c r="C508" s="4" t="n">
        <v>46228</v>
      </c>
      <c r="D508" s="2" t="s">
        <v>1161</v>
      </c>
      <c r="E508" s="2" t="s">
        <v>1176</v>
      </c>
      <c r="F508" s="2" t="s">
        <v>1168</v>
      </c>
      <c r="G508" s="4" t="n">
        <v>46232</v>
      </c>
      <c r="H508" s="2" t="str">
        <f aca="false">IF(C508&gt;CRM_Dashboard!$B$3,"Future-dated",IF(AND(B508=B507,C508&lt;C507),"Date out of sequence",IF(AND(G508&lt;&gt;"",G508&lt;=C508),"Follow-up not after interaction","")))</f>
        <v/>
      </c>
    </row>
    <row r="509" customFormat="false" ht="15" hidden="false" customHeight="false" outlineLevel="0" collapsed="false">
      <c r="A509" s="2" t="s">
        <v>1688</v>
      </c>
      <c r="B509" s="2" t="s">
        <v>801</v>
      </c>
      <c r="C509" s="4" t="n">
        <v>46262</v>
      </c>
      <c r="D509" s="2" t="s">
        <v>1161</v>
      </c>
      <c r="E509" s="2" t="s">
        <v>1162</v>
      </c>
      <c r="F509" s="2"/>
      <c r="G509" s="4"/>
      <c r="H509" s="2" t="str">
        <f aca="false">IF(C509&gt;CRM_Dashboard!$B$3,"Future-dated",IF(AND(B509=B508,C509&lt;C508),"Date out of sequence",IF(AND(G509&lt;&gt;"",G509&lt;=C509),"Follow-up not after interaction","")))</f>
        <v/>
      </c>
    </row>
    <row r="510" customFormat="false" ht="15" hidden="false" customHeight="false" outlineLevel="0" collapsed="false">
      <c r="A510" s="2" t="s">
        <v>1689</v>
      </c>
      <c r="B510" s="2" t="s">
        <v>801</v>
      </c>
      <c r="C510" s="4" t="n">
        <v>46262</v>
      </c>
      <c r="D510" s="2" t="s">
        <v>1161</v>
      </c>
      <c r="E510" s="2" t="s">
        <v>1167</v>
      </c>
      <c r="F510" s="2"/>
      <c r="G510" s="4"/>
      <c r="H510" s="2" t="str">
        <f aca="false">IF(C510&gt;CRM_Dashboard!$B$3,"Future-dated",IF(AND(B510=B509,C510&lt;C509),"Date out of sequence",IF(AND(G510&lt;&gt;"",G510&lt;=C510),"Follow-up not after interaction","")))</f>
        <v/>
      </c>
    </row>
    <row r="511" customFormat="false" ht="15" hidden="false" customHeight="false" outlineLevel="0" collapsed="false">
      <c r="A511" s="2" t="s">
        <v>1690</v>
      </c>
      <c r="B511" s="2" t="s">
        <v>801</v>
      </c>
      <c r="C511" s="4" t="n">
        <v>46259</v>
      </c>
      <c r="D511" s="2" t="s">
        <v>1161</v>
      </c>
      <c r="E511" s="2" t="s">
        <v>1162</v>
      </c>
      <c r="F511" s="2"/>
      <c r="G511" s="4"/>
      <c r="H511" s="2" t="str">
        <f aca="false">IF(C511&gt;CRM_Dashboard!$B$3,"Future-dated",IF(AND(B511=B510,C511&lt;C510),"Date out of sequence",IF(AND(G511&lt;&gt;"",G511&lt;=C511),"Follow-up not after interaction","")))</f>
        <v>Date out of sequence</v>
      </c>
    </row>
    <row r="512" customFormat="false" ht="15" hidden="false" customHeight="false" outlineLevel="0" collapsed="false">
      <c r="A512" s="2" t="s">
        <v>1691</v>
      </c>
      <c r="B512" s="2" t="s">
        <v>801</v>
      </c>
      <c r="C512" s="4" t="n">
        <v>46259</v>
      </c>
      <c r="D512" s="2" t="s">
        <v>1161</v>
      </c>
      <c r="E512" s="2" t="s">
        <v>1167</v>
      </c>
      <c r="F512" s="2" t="s">
        <v>1168</v>
      </c>
      <c r="G512" s="4" t="n">
        <v>46263</v>
      </c>
      <c r="H512" s="2" t="str">
        <f aca="false">IF(C512&gt;CRM_Dashboard!$B$3,"Future-dated",IF(AND(B512=B511,C512&lt;C511),"Date out of sequence",IF(AND(G512&lt;&gt;"",G512&lt;=C512),"Follow-up not after interaction","")))</f>
        <v/>
      </c>
    </row>
    <row r="513" customFormat="false" ht="15" hidden="false" customHeight="false" outlineLevel="0" collapsed="false">
      <c r="A513" s="2" t="s">
        <v>1692</v>
      </c>
      <c r="B513" s="2" t="s">
        <v>805</v>
      </c>
      <c r="C513" s="4" t="n">
        <v>46231</v>
      </c>
      <c r="D513" s="2" t="s">
        <v>1161</v>
      </c>
      <c r="E513" s="2" t="s">
        <v>1162</v>
      </c>
      <c r="F513" s="2"/>
      <c r="G513" s="4"/>
      <c r="H513" s="2" t="str">
        <f aca="false">IF(C513&gt;CRM_Dashboard!$B$3,"Future-dated",IF(AND(B513=B512,C513&lt;C512),"Date out of sequence",IF(AND(G513&lt;&gt;"",G513&lt;=C513),"Follow-up not after interaction","")))</f>
        <v/>
      </c>
    </row>
    <row r="514" customFormat="false" ht="15" hidden="false" customHeight="false" outlineLevel="0" collapsed="false">
      <c r="A514" s="2" t="s">
        <v>1693</v>
      </c>
      <c r="B514" s="2" t="s">
        <v>805</v>
      </c>
      <c r="C514" s="4" t="n">
        <v>46229</v>
      </c>
      <c r="D514" s="2" t="s">
        <v>1161</v>
      </c>
      <c r="E514" s="2" t="s">
        <v>1167</v>
      </c>
      <c r="F514" s="2"/>
      <c r="G514" s="4"/>
      <c r="H514" s="2" t="str">
        <f aca="false">IF(C514&gt;CRM_Dashboard!$B$3,"Future-dated",IF(AND(B514=B513,C514&lt;C513),"Date out of sequence",IF(AND(G514&lt;&gt;"",G514&lt;=C514),"Follow-up not after interaction","")))</f>
        <v>Date out of sequence</v>
      </c>
    </row>
    <row r="515" customFormat="false" ht="15" hidden="false" customHeight="false" outlineLevel="0" collapsed="false">
      <c r="A515" s="2" t="s">
        <v>1694</v>
      </c>
      <c r="B515" s="2" t="s">
        <v>805</v>
      </c>
      <c r="C515" s="4" t="n">
        <v>46237</v>
      </c>
      <c r="D515" s="2" t="s">
        <v>1161</v>
      </c>
      <c r="E515" s="2" t="s">
        <v>1176</v>
      </c>
      <c r="F515" s="2"/>
      <c r="G515" s="4"/>
      <c r="H515" s="2" t="str">
        <f aca="false">IF(C515&gt;CRM_Dashboard!$B$3,"Future-dated",IF(AND(B515=B514,C515&lt;C514),"Date out of sequence",IF(AND(G515&lt;&gt;"",G515&lt;=C515),"Follow-up not after interaction","")))</f>
        <v/>
      </c>
    </row>
    <row r="516" customFormat="false" ht="15" hidden="false" customHeight="false" outlineLevel="0" collapsed="false">
      <c r="A516" s="2" t="s">
        <v>1695</v>
      </c>
      <c r="B516" s="2" t="s">
        <v>805</v>
      </c>
      <c r="C516" s="4" t="n">
        <v>46239</v>
      </c>
      <c r="D516" s="2" t="s">
        <v>1161</v>
      </c>
      <c r="E516" s="2" t="s">
        <v>1171</v>
      </c>
      <c r="F516" s="2" t="s">
        <v>1174</v>
      </c>
      <c r="G516" s="4"/>
      <c r="H516" s="2" t="str">
        <f aca="false">IF(C516&gt;CRM_Dashboard!$B$3,"Future-dated",IF(AND(B516=B515,C516&lt;C515),"Date out of sequence",IF(AND(G516&lt;&gt;"",G516&lt;=C516),"Follow-up not after interaction","")))</f>
        <v/>
      </c>
    </row>
    <row r="517" customFormat="false" ht="15" hidden="false" customHeight="false" outlineLevel="0" collapsed="false">
      <c r="A517" s="2" t="s">
        <v>1696</v>
      </c>
      <c r="B517" s="2" t="s">
        <v>809</v>
      </c>
      <c r="C517" s="4" t="n">
        <v>46292</v>
      </c>
      <c r="D517" s="2" t="s">
        <v>1161</v>
      </c>
      <c r="E517" s="2" t="s">
        <v>1185</v>
      </c>
      <c r="F517" s="2"/>
      <c r="G517" s="4"/>
      <c r="H517" s="2" t="str">
        <f aca="false">IF(C517&gt;CRM_Dashboard!$B$3,"Future-dated",IF(AND(B517=B516,C517&lt;C516),"Date out of sequence",IF(AND(G517&lt;&gt;"",G517&lt;=C517),"Follow-up not after interaction","")))</f>
        <v/>
      </c>
    </row>
    <row r="518" customFormat="false" ht="15" hidden="false" customHeight="false" outlineLevel="0" collapsed="false">
      <c r="A518" s="2" t="s">
        <v>1697</v>
      </c>
      <c r="B518" s="2" t="s">
        <v>809</v>
      </c>
      <c r="C518" s="4" t="n">
        <v>46296</v>
      </c>
      <c r="D518" s="2" t="s">
        <v>1161</v>
      </c>
      <c r="E518" s="2" t="s">
        <v>1167</v>
      </c>
      <c r="F518" s="2"/>
      <c r="G518" s="4"/>
      <c r="H518" s="2" t="str">
        <f aca="false">IF(C518&gt;CRM_Dashboard!$B$3,"Future-dated",IF(AND(B518=B517,C518&lt;C517),"Date out of sequence",IF(AND(G518&lt;&gt;"",G518&lt;=C518),"Follow-up not after interaction","")))</f>
        <v>Future-dated</v>
      </c>
    </row>
    <row r="519" customFormat="false" ht="15" hidden="false" customHeight="false" outlineLevel="0" collapsed="false">
      <c r="A519" s="2" t="s">
        <v>1698</v>
      </c>
      <c r="B519" s="2" t="s">
        <v>809</v>
      </c>
      <c r="C519" s="4" t="n">
        <v>46294</v>
      </c>
      <c r="D519" s="2" t="s">
        <v>1161</v>
      </c>
      <c r="E519" s="2" t="s">
        <v>1167</v>
      </c>
      <c r="F519" s="2" t="s">
        <v>1203</v>
      </c>
      <c r="G519" s="4" t="n">
        <v>46294</v>
      </c>
      <c r="H519" s="2" t="str">
        <f aca="false">IF(C519&gt;CRM_Dashboard!$B$3,"Future-dated",IF(AND(B519=B518,C519&lt;C518),"Date out of sequence",IF(AND(G519&lt;&gt;"",G519&lt;=C519),"Follow-up not after interaction","")))</f>
        <v>Date out of sequence</v>
      </c>
    </row>
    <row r="520" customFormat="false" ht="15" hidden="false" customHeight="false" outlineLevel="0" collapsed="false">
      <c r="A520" s="2" t="s">
        <v>1699</v>
      </c>
      <c r="B520" s="2" t="s">
        <v>813</v>
      </c>
      <c r="C520" s="4" t="n">
        <v>46225</v>
      </c>
      <c r="D520" s="2" t="s">
        <v>1161</v>
      </c>
      <c r="E520" s="2" t="s">
        <v>1176</v>
      </c>
      <c r="F520" s="2"/>
      <c r="G520" s="4"/>
      <c r="H520" s="2" t="str">
        <f aca="false">IF(C520&gt;CRM_Dashboard!$B$3,"Future-dated",IF(AND(B520=B519,C520&lt;C519),"Date out of sequence",IF(AND(G520&lt;&gt;"",G520&lt;=C520),"Follow-up not after interaction","")))</f>
        <v/>
      </c>
    </row>
    <row r="521" customFormat="false" ht="15" hidden="false" customHeight="false" outlineLevel="0" collapsed="false">
      <c r="A521" s="2" t="s">
        <v>1700</v>
      </c>
      <c r="B521" s="2" t="s">
        <v>813</v>
      </c>
      <c r="C521" s="4" t="n">
        <v>46225</v>
      </c>
      <c r="D521" s="2" t="s">
        <v>1161</v>
      </c>
      <c r="E521" s="2" t="s">
        <v>1176</v>
      </c>
      <c r="F521" s="2"/>
      <c r="G521" s="4"/>
      <c r="H521" s="2" t="str">
        <f aca="false">IF(C521&gt;CRM_Dashboard!$B$3,"Future-dated",IF(AND(B521=B520,C521&lt;C520),"Date out of sequence",IF(AND(G521&lt;&gt;"",G521&lt;=C521),"Follow-up not after interaction","")))</f>
        <v/>
      </c>
    </row>
    <row r="522" customFormat="false" ht="15" hidden="false" customHeight="false" outlineLevel="0" collapsed="false">
      <c r="A522" s="2" t="s">
        <v>1701</v>
      </c>
      <c r="B522" s="2" t="s">
        <v>813</v>
      </c>
      <c r="C522" s="4" t="n">
        <v>46223</v>
      </c>
      <c r="D522" s="2" t="s">
        <v>1161</v>
      </c>
      <c r="E522" s="2" t="s">
        <v>1176</v>
      </c>
      <c r="F522" s="2"/>
      <c r="G522" s="4"/>
      <c r="H522" s="2" t="str">
        <f aca="false">IF(C522&gt;CRM_Dashboard!$B$3,"Future-dated",IF(AND(B522=B521,C522&lt;C521),"Date out of sequence",IF(AND(G522&lt;&gt;"",G522&lt;=C522),"Follow-up not after interaction","")))</f>
        <v>Date out of sequence</v>
      </c>
    </row>
    <row r="523" customFormat="false" ht="15" hidden="false" customHeight="false" outlineLevel="0" collapsed="false">
      <c r="A523" s="2" t="s">
        <v>1702</v>
      </c>
      <c r="B523" s="2" t="s">
        <v>813</v>
      </c>
      <c r="C523" s="4" t="n">
        <v>46227</v>
      </c>
      <c r="D523" s="2" t="s">
        <v>1161</v>
      </c>
      <c r="E523" s="2" t="s">
        <v>1185</v>
      </c>
      <c r="F523" s="2" t="s">
        <v>1168</v>
      </c>
      <c r="G523" s="4"/>
      <c r="H523" s="2" t="str">
        <f aca="false">IF(C523&gt;CRM_Dashboard!$B$3,"Future-dated",IF(AND(B523=B522,C523&lt;C522),"Date out of sequence",IF(AND(G523&lt;&gt;"",G523&lt;=C523),"Follow-up not after interaction","")))</f>
        <v/>
      </c>
    </row>
    <row r="524" customFormat="false" ht="15" hidden="false" customHeight="false" outlineLevel="0" collapsed="false">
      <c r="A524" s="2" t="s">
        <v>1703</v>
      </c>
      <c r="B524" s="2" t="s">
        <v>817</v>
      </c>
      <c r="C524" s="4" t="n">
        <v>46264</v>
      </c>
      <c r="D524" s="2" t="s">
        <v>1161</v>
      </c>
      <c r="E524" s="2" t="s">
        <v>1179</v>
      </c>
      <c r="F524" s="2" t="s">
        <v>1174</v>
      </c>
      <c r="G524" s="4"/>
      <c r="H524" s="2" t="str">
        <f aca="false">IF(C524&gt;CRM_Dashboard!$B$3,"Future-dated",IF(AND(B524=B523,C524&lt;C523),"Date out of sequence",IF(AND(G524&lt;&gt;"",G524&lt;=C524),"Follow-up not after interaction","")))</f>
        <v/>
      </c>
    </row>
    <row r="525" customFormat="false" ht="15" hidden="false" customHeight="false" outlineLevel="0" collapsed="false">
      <c r="A525" s="2" t="s">
        <v>1704</v>
      </c>
      <c r="B525" s="2" t="s">
        <v>820</v>
      </c>
      <c r="C525" s="4" t="n">
        <v>46268</v>
      </c>
      <c r="D525" s="2" t="s">
        <v>1161</v>
      </c>
      <c r="E525" s="2" t="s">
        <v>1188</v>
      </c>
      <c r="F525" s="2"/>
      <c r="G525" s="4"/>
      <c r="H525" s="2" t="str">
        <f aca="false">IF(C525&gt;CRM_Dashboard!$B$3,"Future-dated",IF(AND(B525=B524,C525&lt;C524),"Date out of sequence",IF(AND(G525&lt;&gt;"",G525&lt;=C525),"Follow-up not after interaction","")))</f>
        <v/>
      </c>
    </row>
    <row r="526" customFormat="false" ht="15" hidden="false" customHeight="false" outlineLevel="0" collapsed="false">
      <c r="A526" s="2" t="s">
        <v>1705</v>
      </c>
      <c r="B526" s="2" t="s">
        <v>820</v>
      </c>
      <c r="C526" s="4" t="n">
        <v>46270</v>
      </c>
      <c r="D526" s="2" t="s">
        <v>1161</v>
      </c>
      <c r="E526" s="2" t="s">
        <v>1176</v>
      </c>
      <c r="F526" s="2"/>
      <c r="G526" s="4"/>
      <c r="H526" s="2" t="str">
        <f aca="false">IF(C526&gt;CRM_Dashboard!$B$3,"Future-dated",IF(AND(B526=B525,C526&lt;C525),"Date out of sequence",IF(AND(G526&lt;&gt;"",G526&lt;=C526),"Follow-up not after interaction","")))</f>
        <v/>
      </c>
    </row>
    <row r="527" customFormat="false" ht="15" hidden="false" customHeight="false" outlineLevel="0" collapsed="false">
      <c r="A527" s="2" t="s">
        <v>1706</v>
      </c>
      <c r="B527" s="2" t="s">
        <v>820</v>
      </c>
      <c r="C527" s="4" t="n">
        <v>46267</v>
      </c>
      <c r="D527" s="2" t="s">
        <v>1161</v>
      </c>
      <c r="E527" s="2" t="s">
        <v>1162</v>
      </c>
      <c r="F527" s="2"/>
      <c r="G527" s="4"/>
      <c r="H527" s="2" t="str">
        <f aca="false">IF(C527&gt;CRM_Dashboard!$B$3,"Future-dated",IF(AND(B527=B526,C527&lt;C526),"Date out of sequence",IF(AND(G527&lt;&gt;"",G527&lt;=C527),"Follow-up not after interaction","")))</f>
        <v>Date out of sequence</v>
      </c>
    </row>
    <row r="528" customFormat="false" ht="15" hidden="false" customHeight="false" outlineLevel="0" collapsed="false">
      <c r="A528" s="2" t="s">
        <v>1707</v>
      </c>
      <c r="B528" s="2" t="s">
        <v>820</v>
      </c>
      <c r="C528" s="4" t="n">
        <v>46274</v>
      </c>
      <c r="D528" s="2" t="s">
        <v>1161</v>
      </c>
      <c r="E528" s="2" t="s">
        <v>1167</v>
      </c>
      <c r="F528" s="2" t="s">
        <v>1168</v>
      </c>
      <c r="G528" s="4" t="n">
        <v>46270</v>
      </c>
      <c r="H528" s="2" t="str">
        <f aca="false">IF(C528&gt;CRM_Dashboard!$B$3,"Future-dated",IF(AND(B528=B527,C528&lt;C527),"Date out of sequence",IF(AND(G528&lt;&gt;"",G528&lt;=C528),"Follow-up not after interaction","")))</f>
        <v>Follow-up not after interaction</v>
      </c>
    </row>
    <row r="529" customFormat="false" ht="15" hidden="false" customHeight="false" outlineLevel="0" collapsed="false">
      <c r="A529" s="2" t="s">
        <v>1708</v>
      </c>
      <c r="B529" s="2" t="s">
        <v>824</v>
      </c>
      <c r="C529" s="4" t="n">
        <v>46278</v>
      </c>
      <c r="D529" s="2" t="s">
        <v>1161</v>
      </c>
      <c r="E529" s="2" t="s">
        <v>1176</v>
      </c>
      <c r="F529" s="2"/>
      <c r="G529" s="4"/>
      <c r="H529" s="2" t="str">
        <f aca="false">IF(C529&gt;CRM_Dashboard!$B$3,"Future-dated",IF(AND(B529=B528,C529&lt;C528),"Date out of sequence",IF(AND(G529&lt;&gt;"",G529&lt;=C529),"Follow-up not after interaction","")))</f>
        <v/>
      </c>
    </row>
    <row r="530" customFormat="false" ht="15" hidden="false" customHeight="false" outlineLevel="0" collapsed="false">
      <c r="A530" s="2" t="s">
        <v>1709</v>
      </c>
      <c r="B530" s="2" t="s">
        <v>824</v>
      </c>
      <c r="C530" s="4" t="n">
        <v>46279</v>
      </c>
      <c r="D530" s="2" t="s">
        <v>1161</v>
      </c>
      <c r="E530" s="2" t="s">
        <v>1162</v>
      </c>
      <c r="F530" s="2"/>
      <c r="G530" s="4"/>
      <c r="H530" s="2" t="str">
        <f aca="false">IF(C530&gt;CRM_Dashboard!$B$3,"Future-dated",IF(AND(B530=B529,C530&lt;C529),"Date out of sequence",IF(AND(G530&lt;&gt;"",G530&lt;=C530),"Follow-up not after interaction","")))</f>
        <v/>
      </c>
    </row>
    <row r="531" customFormat="false" ht="15" hidden="false" customHeight="false" outlineLevel="0" collapsed="false">
      <c r="A531" s="2" t="s">
        <v>1710</v>
      </c>
      <c r="B531" s="2" t="s">
        <v>824</v>
      </c>
      <c r="C531" s="4" t="n">
        <v>46279</v>
      </c>
      <c r="D531" s="2" t="s">
        <v>1161</v>
      </c>
      <c r="E531" s="2" t="s">
        <v>1162</v>
      </c>
      <c r="F531" s="2"/>
      <c r="G531" s="4"/>
      <c r="H531" s="2" t="str">
        <f aca="false">IF(C531&gt;CRM_Dashboard!$B$3,"Future-dated",IF(AND(B531=B530,C531&lt;C530),"Date out of sequence",IF(AND(G531&lt;&gt;"",G531&lt;=C531),"Follow-up not after interaction","")))</f>
        <v/>
      </c>
    </row>
    <row r="532" customFormat="false" ht="15" hidden="false" customHeight="false" outlineLevel="0" collapsed="false">
      <c r="A532" s="2" t="s">
        <v>1711</v>
      </c>
      <c r="B532" s="2" t="s">
        <v>824</v>
      </c>
      <c r="C532" s="4" t="n">
        <v>46284</v>
      </c>
      <c r="D532" s="2" t="s">
        <v>1161</v>
      </c>
      <c r="E532" s="2" t="s">
        <v>1188</v>
      </c>
      <c r="F532" s="2" t="s">
        <v>1174</v>
      </c>
      <c r="G532" s="4"/>
      <c r="H532" s="2" t="str">
        <f aca="false">IF(C532&gt;CRM_Dashboard!$B$3,"Future-dated",IF(AND(B532=B531,C532&lt;C531),"Date out of sequence",IF(AND(G532&lt;&gt;"",G532&lt;=C532),"Follow-up not after interaction","")))</f>
        <v/>
      </c>
    </row>
    <row r="533" customFormat="false" ht="15" hidden="false" customHeight="false" outlineLevel="0" collapsed="false">
      <c r="A533" s="2" t="s">
        <v>1712</v>
      </c>
      <c r="B533" s="2" t="s">
        <v>828</v>
      </c>
      <c r="C533" s="4" t="n">
        <v>46261</v>
      </c>
      <c r="D533" s="2" t="s">
        <v>1161</v>
      </c>
      <c r="E533" s="2" t="s">
        <v>1188</v>
      </c>
      <c r="F533" s="2" t="s">
        <v>1183</v>
      </c>
      <c r="G533" s="4"/>
      <c r="H533" s="2" t="str">
        <f aca="false">IF(C533&gt;CRM_Dashboard!$B$3,"Future-dated",IF(AND(B533=B532,C533&lt;C532),"Date out of sequence",IF(AND(G533&lt;&gt;"",G533&lt;=C533),"Follow-up not after interaction","")))</f>
        <v/>
      </c>
    </row>
    <row r="534" customFormat="false" ht="15" hidden="false" customHeight="false" outlineLevel="0" collapsed="false">
      <c r="A534" s="2" t="s">
        <v>1713</v>
      </c>
      <c r="B534" s="2" t="s">
        <v>832</v>
      </c>
      <c r="C534" s="4" t="n">
        <v>46217</v>
      </c>
      <c r="D534" s="2" t="s">
        <v>1161</v>
      </c>
      <c r="E534" s="2" t="s">
        <v>1179</v>
      </c>
      <c r="F534" s="2"/>
      <c r="G534" s="4"/>
      <c r="H534" s="2" t="str">
        <f aca="false">IF(C534&gt;CRM_Dashboard!$B$3,"Future-dated",IF(AND(B534=B533,C534&lt;C533),"Date out of sequence",IF(AND(G534&lt;&gt;"",G534&lt;=C534),"Follow-up not after interaction","")))</f>
        <v/>
      </c>
    </row>
    <row r="535" customFormat="false" ht="15" hidden="false" customHeight="false" outlineLevel="0" collapsed="false">
      <c r="A535" s="2" t="s">
        <v>1714</v>
      </c>
      <c r="B535" s="2" t="s">
        <v>832</v>
      </c>
      <c r="C535" s="4" t="n">
        <v>46221</v>
      </c>
      <c r="D535" s="2" t="s">
        <v>1161</v>
      </c>
      <c r="E535" s="2" t="s">
        <v>1162</v>
      </c>
      <c r="F535" s="2"/>
      <c r="G535" s="4"/>
      <c r="H535" s="2" t="str">
        <f aca="false">IF(C535&gt;CRM_Dashboard!$B$3,"Future-dated",IF(AND(B535=B534,C535&lt;C534),"Date out of sequence",IF(AND(G535&lt;&gt;"",G535&lt;=C535),"Follow-up not after interaction","")))</f>
        <v/>
      </c>
    </row>
    <row r="536" customFormat="false" ht="15" hidden="false" customHeight="false" outlineLevel="0" collapsed="false">
      <c r="A536" s="2" t="s">
        <v>1715</v>
      </c>
      <c r="B536" s="2" t="s">
        <v>832</v>
      </c>
      <c r="C536" s="4" t="n">
        <v>46220</v>
      </c>
      <c r="D536" s="2" t="s">
        <v>1161</v>
      </c>
      <c r="E536" s="2" t="s">
        <v>1252</v>
      </c>
      <c r="F536" s="2"/>
      <c r="G536" s="4"/>
      <c r="H536" s="2" t="str">
        <f aca="false">IF(C536&gt;CRM_Dashboard!$B$3,"Future-dated",IF(AND(B536=B535,C536&lt;C535),"Date out of sequence",IF(AND(G536&lt;&gt;"",G536&lt;=C536),"Follow-up not after interaction","")))</f>
        <v>Date out of sequence</v>
      </c>
    </row>
    <row r="537" customFormat="false" ht="15" hidden="false" customHeight="false" outlineLevel="0" collapsed="false">
      <c r="A537" s="2" t="s">
        <v>1716</v>
      </c>
      <c r="B537" s="2" t="s">
        <v>832</v>
      </c>
      <c r="C537" s="4" t="n">
        <v>46222</v>
      </c>
      <c r="D537" s="2" t="s">
        <v>1161</v>
      </c>
      <c r="E537" s="2" t="s">
        <v>1162</v>
      </c>
      <c r="F537" s="2" t="s">
        <v>1168</v>
      </c>
      <c r="G537" s="4"/>
      <c r="H537" s="2" t="str">
        <f aca="false">IF(C537&gt;CRM_Dashboard!$B$3,"Future-dated",IF(AND(B537=B536,C537&lt;C536),"Date out of sequence",IF(AND(G537&lt;&gt;"",G537&lt;=C537),"Follow-up not after interaction","")))</f>
        <v/>
      </c>
    </row>
    <row r="538" customFormat="false" ht="15" hidden="false" customHeight="false" outlineLevel="0" collapsed="false">
      <c r="A538" s="2" t="s">
        <v>1717</v>
      </c>
      <c r="B538" s="2" t="s">
        <v>836</v>
      </c>
      <c r="C538" s="4" t="n">
        <v>46233</v>
      </c>
      <c r="D538" s="2" t="s">
        <v>1161</v>
      </c>
      <c r="E538" s="2" t="s">
        <v>1167</v>
      </c>
      <c r="F538" s="2" t="s">
        <v>1195</v>
      </c>
      <c r="G538" s="4" t="n">
        <v>46240</v>
      </c>
      <c r="H538" s="2" t="str">
        <f aca="false">IF(C538&gt;CRM_Dashboard!$B$3,"Future-dated",IF(AND(B538=B537,C538&lt;C537),"Date out of sequence",IF(AND(G538&lt;&gt;"",G538&lt;=C538),"Follow-up not after interaction","")))</f>
        <v/>
      </c>
    </row>
    <row r="539" customFormat="false" ht="15" hidden="false" customHeight="false" outlineLevel="0" collapsed="false">
      <c r="A539" s="2" t="s">
        <v>1718</v>
      </c>
      <c r="B539" s="2" t="s">
        <v>840</v>
      </c>
      <c r="C539" s="4" t="n">
        <v>46294</v>
      </c>
      <c r="D539" s="2" t="s">
        <v>1161</v>
      </c>
      <c r="E539" s="2" t="s">
        <v>1162</v>
      </c>
      <c r="F539" s="2" t="s">
        <v>1177</v>
      </c>
      <c r="G539" s="4"/>
      <c r="H539" s="2" t="str">
        <f aca="false">IF(C539&gt;CRM_Dashboard!$B$3,"Future-dated",IF(AND(B539=B538,C539&lt;C538),"Date out of sequence",IF(AND(G539&lt;&gt;"",G539&lt;=C539),"Follow-up not after interaction","")))</f>
        <v/>
      </c>
    </row>
    <row r="540" customFormat="false" ht="15" hidden="false" customHeight="false" outlineLevel="0" collapsed="false">
      <c r="A540" s="2" t="s">
        <v>1719</v>
      </c>
      <c r="B540" s="2" t="s">
        <v>843</v>
      </c>
      <c r="C540" s="4" t="n">
        <v>46245</v>
      </c>
      <c r="D540" s="2" t="s">
        <v>1161</v>
      </c>
      <c r="E540" s="2" t="s">
        <v>1188</v>
      </c>
      <c r="F540" s="2"/>
      <c r="G540" s="4"/>
      <c r="H540" s="2" t="str">
        <f aca="false">IF(C540&gt;CRM_Dashboard!$B$3,"Future-dated",IF(AND(B540=B539,C540&lt;C539),"Date out of sequence",IF(AND(G540&lt;&gt;"",G540&lt;=C540),"Follow-up not after interaction","")))</f>
        <v/>
      </c>
    </row>
    <row r="541" customFormat="false" ht="15" hidden="false" customHeight="false" outlineLevel="0" collapsed="false">
      <c r="A541" s="2" t="s">
        <v>1720</v>
      </c>
      <c r="B541" s="2" t="s">
        <v>843</v>
      </c>
      <c r="C541" s="4" t="n">
        <v>46249</v>
      </c>
      <c r="D541" s="2" t="s">
        <v>1161</v>
      </c>
      <c r="E541" s="2" t="s">
        <v>1167</v>
      </c>
      <c r="F541" s="2" t="s">
        <v>1165</v>
      </c>
      <c r="G541" s="4" t="n">
        <v>46255</v>
      </c>
      <c r="H541" s="2" t="str">
        <f aca="false">IF(C541&gt;CRM_Dashboard!$B$3,"Future-dated",IF(AND(B541=B540,C541&lt;C540),"Date out of sequence",IF(AND(G541&lt;&gt;"",G541&lt;=C541),"Follow-up not after interaction","")))</f>
        <v/>
      </c>
    </row>
    <row r="542" customFormat="false" ht="15" hidden="false" customHeight="false" outlineLevel="0" collapsed="false">
      <c r="A542" s="2" t="s">
        <v>1721</v>
      </c>
      <c r="B542" s="2" t="s">
        <v>847</v>
      </c>
      <c r="C542" s="4" t="n">
        <v>46216</v>
      </c>
      <c r="D542" s="2" t="s">
        <v>1161</v>
      </c>
      <c r="E542" s="2" t="s">
        <v>1176</v>
      </c>
      <c r="F542" s="2"/>
      <c r="G542" s="4"/>
      <c r="H542" s="2" t="str">
        <f aca="false">IF(C542&gt;CRM_Dashboard!$B$3,"Future-dated",IF(AND(B542=B541,C542&lt;C541),"Date out of sequence",IF(AND(G542&lt;&gt;"",G542&lt;=C542),"Follow-up not after interaction","")))</f>
        <v/>
      </c>
    </row>
    <row r="543" customFormat="false" ht="15" hidden="false" customHeight="false" outlineLevel="0" collapsed="false">
      <c r="A543" s="2" t="s">
        <v>1722</v>
      </c>
      <c r="B543" s="2" t="s">
        <v>847</v>
      </c>
      <c r="C543" s="4" t="n">
        <v>46218</v>
      </c>
      <c r="D543" s="2" t="s">
        <v>1161</v>
      </c>
      <c r="E543" s="2" t="s">
        <v>1162</v>
      </c>
      <c r="F543" s="2"/>
      <c r="G543" s="4"/>
      <c r="H543" s="2" t="str">
        <f aca="false">IF(C543&gt;CRM_Dashboard!$B$3,"Future-dated",IF(AND(B543=B542,C543&lt;C542),"Date out of sequence",IF(AND(G543&lt;&gt;"",G543&lt;=C543),"Follow-up not after interaction","")))</f>
        <v/>
      </c>
    </row>
    <row r="544" customFormat="false" ht="15" hidden="false" customHeight="false" outlineLevel="0" collapsed="false">
      <c r="A544" s="2" t="s">
        <v>1723</v>
      </c>
      <c r="B544" s="2" t="s">
        <v>847</v>
      </c>
      <c r="C544" s="4" t="n">
        <v>46217</v>
      </c>
      <c r="D544" s="2" t="s">
        <v>1161</v>
      </c>
      <c r="E544" s="2" t="s">
        <v>1185</v>
      </c>
      <c r="F544" s="2"/>
      <c r="G544" s="4"/>
      <c r="H544" s="2" t="str">
        <f aca="false">IF(C544&gt;CRM_Dashboard!$B$3,"Future-dated",IF(AND(B544=B543,C544&lt;C543),"Date out of sequence",IF(AND(G544&lt;&gt;"",G544&lt;=C544),"Follow-up not after interaction","")))</f>
        <v>Date out of sequence</v>
      </c>
    </row>
    <row r="545" customFormat="false" ht="15" hidden="false" customHeight="false" outlineLevel="0" collapsed="false">
      <c r="A545" s="2" t="s">
        <v>1724</v>
      </c>
      <c r="B545" s="2" t="s">
        <v>847</v>
      </c>
      <c r="C545" s="4" t="n">
        <v>46218</v>
      </c>
      <c r="D545" s="2" t="s">
        <v>1161</v>
      </c>
      <c r="E545" s="2" t="s">
        <v>1173</v>
      </c>
      <c r="F545" s="2" t="s">
        <v>1183</v>
      </c>
      <c r="G545" s="4" t="n">
        <v>46221</v>
      </c>
      <c r="H545" s="2" t="str">
        <f aca="false">IF(C545&gt;CRM_Dashboard!$B$3,"Future-dated",IF(AND(B545=B544,C545&lt;C544),"Date out of sequence",IF(AND(G545&lt;&gt;"",G545&lt;=C545),"Follow-up not after interaction","")))</f>
        <v/>
      </c>
    </row>
    <row r="546" customFormat="false" ht="15" hidden="false" customHeight="false" outlineLevel="0" collapsed="false">
      <c r="A546" s="2" t="s">
        <v>1725</v>
      </c>
      <c r="B546" s="2" t="s">
        <v>850</v>
      </c>
      <c r="C546" s="4" t="n">
        <v>46272</v>
      </c>
      <c r="D546" s="2" t="s">
        <v>1161</v>
      </c>
      <c r="E546" s="2" t="s">
        <v>1162</v>
      </c>
      <c r="F546" s="2"/>
      <c r="G546" s="4"/>
      <c r="H546" s="2" t="str">
        <f aca="false">IF(C546&gt;CRM_Dashboard!$B$3,"Future-dated",IF(AND(B546=B545,C546&lt;C545),"Date out of sequence",IF(AND(G546&lt;&gt;"",G546&lt;=C546),"Follow-up not after interaction","")))</f>
        <v/>
      </c>
    </row>
    <row r="547" customFormat="false" ht="15" hidden="false" customHeight="false" outlineLevel="0" collapsed="false">
      <c r="A547" s="2" t="s">
        <v>1726</v>
      </c>
      <c r="B547" s="2" t="s">
        <v>850</v>
      </c>
      <c r="C547" s="4" t="n">
        <v>46276</v>
      </c>
      <c r="D547" s="2" t="s">
        <v>1161</v>
      </c>
      <c r="E547" s="2" t="s">
        <v>1176</v>
      </c>
      <c r="F547" s="2"/>
      <c r="G547" s="4"/>
      <c r="H547" s="2" t="str">
        <f aca="false">IF(C547&gt;CRM_Dashboard!$B$3,"Future-dated",IF(AND(B547=B546,C547&lt;C546),"Date out of sequence",IF(AND(G547&lt;&gt;"",G547&lt;=C547),"Follow-up not after interaction","")))</f>
        <v/>
      </c>
    </row>
    <row r="548" customFormat="false" ht="15" hidden="false" customHeight="false" outlineLevel="0" collapsed="false">
      <c r="A548" s="2" t="s">
        <v>1727</v>
      </c>
      <c r="B548" s="2" t="s">
        <v>850</v>
      </c>
      <c r="C548" s="4" t="n">
        <v>46276</v>
      </c>
      <c r="D548" s="2" t="s">
        <v>1161</v>
      </c>
      <c r="E548" s="2" t="s">
        <v>1162</v>
      </c>
      <c r="F548" s="2"/>
      <c r="G548" s="4"/>
      <c r="H548" s="2" t="str">
        <f aca="false">IF(C548&gt;CRM_Dashboard!$B$3,"Future-dated",IF(AND(B548=B547,C548&lt;C547),"Date out of sequence",IF(AND(G548&lt;&gt;"",G548&lt;=C548),"Follow-up not after interaction","")))</f>
        <v/>
      </c>
    </row>
    <row r="549" customFormat="false" ht="15" hidden="false" customHeight="false" outlineLevel="0" collapsed="false">
      <c r="A549" s="2" t="s">
        <v>1728</v>
      </c>
      <c r="B549" s="2" t="s">
        <v>850</v>
      </c>
      <c r="C549" s="4" t="n">
        <v>46275</v>
      </c>
      <c r="D549" s="2" t="s">
        <v>1161</v>
      </c>
      <c r="E549" s="2" t="s">
        <v>1162</v>
      </c>
      <c r="F549" s="2" t="s">
        <v>1183</v>
      </c>
      <c r="G549" s="4"/>
      <c r="H549" s="2" t="str">
        <f aca="false">IF(C549&gt;CRM_Dashboard!$B$3,"Future-dated",IF(AND(B549=B548,C549&lt;C548),"Date out of sequence",IF(AND(G549&lt;&gt;"",G549&lt;=C549),"Follow-up not after interaction","")))</f>
        <v>Date out of sequence</v>
      </c>
    </row>
    <row r="550" customFormat="false" ht="15" hidden="false" customHeight="false" outlineLevel="0" collapsed="false">
      <c r="A550" s="2" t="s">
        <v>1729</v>
      </c>
      <c r="B550" s="2" t="s">
        <v>853</v>
      </c>
      <c r="C550" s="4" t="n">
        <v>46211</v>
      </c>
      <c r="D550" s="2" t="s">
        <v>1161</v>
      </c>
      <c r="E550" s="2" t="s">
        <v>1162</v>
      </c>
      <c r="F550" s="2" t="s">
        <v>1209</v>
      </c>
      <c r="G550" s="4"/>
      <c r="H550" s="2" t="str">
        <f aca="false">IF(C550&gt;CRM_Dashboard!$B$3,"Future-dated",IF(AND(B550=B549,C550&lt;C549),"Date out of sequence",IF(AND(G550&lt;&gt;"",G550&lt;=C550),"Follow-up not after interaction","")))</f>
        <v/>
      </c>
    </row>
    <row r="551" customFormat="false" ht="15" hidden="false" customHeight="false" outlineLevel="0" collapsed="false">
      <c r="A551" s="2" t="s">
        <v>1730</v>
      </c>
      <c r="B551" s="2" t="s">
        <v>857</v>
      </c>
      <c r="C551" s="4" t="n">
        <v>46293</v>
      </c>
      <c r="D551" s="2" t="s">
        <v>1161</v>
      </c>
      <c r="E551" s="2" t="s">
        <v>1179</v>
      </c>
      <c r="F551" s="2"/>
      <c r="G551" s="4"/>
      <c r="H551" s="2" t="str">
        <f aca="false">IF(C551&gt;CRM_Dashboard!$B$3,"Future-dated",IF(AND(B551=B550,C551&lt;C550),"Date out of sequence",IF(AND(G551&lt;&gt;"",G551&lt;=C551),"Follow-up not after interaction","")))</f>
        <v/>
      </c>
    </row>
    <row r="552" customFormat="false" ht="15" hidden="false" customHeight="false" outlineLevel="0" collapsed="false">
      <c r="A552" s="2" t="s">
        <v>1731</v>
      </c>
      <c r="B552" s="2" t="s">
        <v>857</v>
      </c>
      <c r="C552" s="4" t="n">
        <v>46293</v>
      </c>
      <c r="D552" s="2" t="s">
        <v>1161</v>
      </c>
      <c r="E552" s="2" t="s">
        <v>1173</v>
      </c>
      <c r="F552" s="2" t="s">
        <v>1168</v>
      </c>
      <c r="G552" s="4" t="n">
        <v>46297</v>
      </c>
      <c r="H552" s="2" t="str">
        <f aca="false">IF(C552&gt;CRM_Dashboard!$B$3,"Future-dated",IF(AND(B552=B551,C552&lt;C551),"Date out of sequence",IF(AND(G552&lt;&gt;"",G552&lt;=C552),"Follow-up not after interaction","")))</f>
        <v/>
      </c>
    </row>
    <row r="553" customFormat="false" ht="15" hidden="false" customHeight="false" outlineLevel="0" collapsed="false">
      <c r="A553" s="2" t="s">
        <v>1732</v>
      </c>
      <c r="B553" s="2" t="s">
        <v>861</v>
      </c>
      <c r="C553" s="4" t="n">
        <v>46286</v>
      </c>
      <c r="D553" s="2" t="s">
        <v>1161</v>
      </c>
      <c r="E553" s="2" t="s">
        <v>1188</v>
      </c>
      <c r="F553" s="2"/>
      <c r="G553" s="4"/>
      <c r="H553" s="2" t="str">
        <f aca="false">IF(C553&gt;CRM_Dashboard!$B$3,"Future-dated",IF(AND(B553=B552,C553&lt;C552),"Date out of sequence",IF(AND(G553&lt;&gt;"",G553&lt;=C553),"Follow-up not after interaction","")))</f>
        <v/>
      </c>
    </row>
    <row r="554" customFormat="false" ht="15" hidden="false" customHeight="false" outlineLevel="0" collapsed="false">
      <c r="A554" s="2" t="s">
        <v>1733</v>
      </c>
      <c r="B554" s="2" t="s">
        <v>861</v>
      </c>
      <c r="C554" s="4" t="n">
        <v>46288</v>
      </c>
      <c r="D554" s="2" t="s">
        <v>1161</v>
      </c>
      <c r="E554" s="2" t="s">
        <v>1188</v>
      </c>
      <c r="F554" s="2"/>
      <c r="G554" s="4"/>
      <c r="H554" s="2" t="str">
        <f aca="false">IF(C554&gt;CRM_Dashboard!$B$3,"Future-dated",IF(AND(B554=B553,C554&lt;C553),"Date out of sequence",IF(AND(G554&lt;&gt;"",G554&lt;=C554),"Follow-up not after interaction","")))</f>
        <v/>
      </c>
    </row>
    <row r="555" customFormat="false" ht="15" hidden="false" customHeight="false" outlineLevel="0" collapsed="false">
      <c r="A555" s="2" t="s">
        <v>1734</v>
      </c>
      <c r="B555" s="2" t="s">
        <v>861</v>
      </c>
      <c r="C555" s="4" t="n">
        <v>46285</v>
      </c>
      <c r="D555" s="2" t="s">
        <v>1161</v>
      </c>
      <c r="E555" s="2" t="s">
        <v>1176</v>
      </c>
      <c r="F555" s="2" t="s">
        <v>1177</v>
      </c>
      <c r="G555" s="4" t="n">
        <v>46286</v>
      </c>
      <c r="H555" s="2" t="str">
        <f aca="false">IF(C555&gt;CRM_Dashboard!$B$3,"Future-dated",IF(AND(B555=B554,C555&lt;C554),"Date out of sequence",IF(AND(G555&lt;&gt;"",G555&lt;=C555),"Follow-up not after interaction","")))</f>
        <v>Date out of sequence</v>
      </c>
    </row>
    <row r="556" customFormat="false" ht="15" hidden="false" customHeight="false" outlineLevel="0" collapsed="false">
      <c r="A556" s="2" t="s">
        <v>1735</v>
      </c>
      <c r="B556" s="2" t="s">
        <v>864</v>
      </c>
      <c r="C556" s="4" t="n">
        <v>46261</v>
      </c>
      <c r="D556" s="2" t="s">
        <v>1161</v>
      </c>
      <c r="E556" s="2" t="s">
        <v>1162</v>
      </c>
      <c r="F556" s="2" t="s">
        <v>1177</v>
      </c>
      <c r="G556" s="4"/>
      <c r="H556" s="2" t="str">
        <f aca="false">IF(C556&gt;CRM_Dashboard!$B$3,"Future-dated",IF(AND(B556=B555,C556&lt;C555),"Date out of sequence",IF(AND(G556&lt;&gt;"",G556&lt;=C556),"Follow-up not after interaction","")))</f>
        <v/>
      </c>
    </row>
    <row r="557" customFormat="false" ht="15" hidden="false" customHeight="false" outlineLevel="0" collapsed="false">
      <c r="A557" s="2" t="s">
        <v>1736</v>
      </c>
      <c r="B557" s="2" t="s">
        <v>867</v>
      </c>
      <c r="C557" s="4" t="n">
        <v>46220</v>
      </c>
      <c r="D557" s="2" t="s">
        <v>1161</v>
      </c>
      <c r="E557" s="2" t="s">
        <v>1173</v>
      </c>
      <c r="F557" s="2" t="s">
        <v>1209</v>
      </c>
      <c r="G557" s="4" t="n">
        <v>46220</v>
      </c>
      <c r="H557" s="2" t="str">
        <f aca="false">IF(C557&gt;CRM_Dashboard!$B$3,"Future-dated",IF(AND(B557=B556,C557&lt;C556),"Date out of sequence",IF(AND(G557&lt;&gt;"",G557&lt;=C557),"Follow-up not after interaction","")))</f>
        <v>Follow-up not after interaction</v>
      </c>
    </row>
    <row r="558" customFormat="false" ht="15" hidden="false" customHeight="false" outlineLevel="0" collapsed="false">
      <c r="A558" s="2" t="s">
        <v>1737</v>
      </c>
      <c r="B558" s="2" t="s">
        <v>871</v>
      </c>
      <c r="C558" s="4" t="n">
        <v>46227</v>
      </c>
      <c r="D558" s="2" t="s">
        <v>1161</v>
      </c>
      <c r="E558" s="2" t="s">
        <v>1173</v>
      </c>
      <c r="F558" s="2"/>
      <c r="G558" s="4"/>
      <c r="H558" s="2" t="str">
        <f aca="false">IF(C558&gt;CRM_Dashboard!$B$3,"Future-dated",IF(AND(B558=B557,C558&lt;C557),"Date out of sequence",IF(AND(G558&lt;&gt;"",G558&lt;=C558),"Follow-up not after interaction","")))</f>
        <v/>
      </c>
    </row>
    <row r="559" customFormat="false" ht="15" hidden="false" customHeight="false" outlineLevel="0" collapsed="false">
      <c r="A559" s="2" t="s">
        <v>1738</v>
      </c>
      <c r="B559" s="2" t="s">
        <v>871</v>
      </c>
      <c r="C559" s="4" t="n">
        <v>46230</v>
      </c>
      <c r="D559" s="2" t="s">
        <v>1161</v>
      </c>
      <c r="E559" s="2" t="s">
        <v>1162</v>
      </c>
      <c r="F559" s="2"/>
      <c r="G559" s="4"/>
      <c r="H559" s="2" t="str">
        <f aca="false">IF(C559&gt;CRM_Dashboard!$B$3,"Future-dated",IF(AND(B559=B558,C559&lt;C558),"Date out of sequence",IF(AND(G559&lt;&gt;"",G559&lt;=C559),"Follow-up not after interaction","")))</f>
        <v/>
      </c>
    </row>
    <row r="560" customFormat="false" ht="15" hidden="false" customHeight="false" outlineLevel="0" collapsed="false">
      <c r="A560" s="2" t="s">
        <v>1739</v>
      </c>
      <c r="B560" s="2" t="s">
        <v>871</v>
      </c>
      <c r="C560" s="4" t="n">
        <v>46226</v>
      </c>
      <c r="D560" s="2" t="s">
        <v>1161</v>
      </c>
      <c r="E560" s="2" t="s">
        <v>1188</v>
      </c>
      <c r="F560" s="2"/>
      <c r="G560" s="4"/>
      <c r="H560" s="2" t="str">
        <f aca="false">IF(C560&gt;CRM_Dashboard!$B$3,"Future-dated",IF(AND(B560=B559,C560&lt;C559),"Date out of sequence",IF(AND(G560&lt;&gt;"",G560&lt;=C560),"Follow-up not after interaction","")))</f>
        <v>Date out of sequence</v>
      </c>
    </row>
    <row r="561" customFormat="false" ht="15" hidden="false" customHeight="false" outlineLevel="0" collapsed="false">
      <c r="A561" s="2" t="s">
        <v>1740</v>
      </c>
      <c r="B561" s="2" t="s">
        <v>871</v>
      </c>
      <c r="C561" s="4" t="n">
        <v>46232</v>
      </c>
      <c r="D561" s="2" t="s">
        <v>1161</v>
      </c>
      <c r="E561" s="2" t="s">
        <v>1185</v>
      </c>
      <c r="F561" s="2" t="s">
        <v>1203</v>
      </c>
      <c r="G561" s="4"/>
      <c r="H561" s="2" t="str">
        <f aca="false">IF(C561&gt;CRM_Dashboard!$B$3,"Future-dated",IF(AND(B561=B560,C561&lt;C560),"Date out of sequence",IF(AND(G561&lt;&gt;"",G561&lt;=C561),"Follow-up not after interaction","")))</f>
        <v/>
      </c>
    </row>
    <row r="562" customFormat="false" ht="15" hidden="false" customHeight="false" outlineLevel="0" collapsed="false">
      <c r="A562" s="2" t="s">
        <v>1741</v>
      </c>
      <c r="B562" s="2" t="s">
        <v>874</v>
      </c>
      <c r="C562" s="4" t="n">
        <v>46247</v>
      </c>
      <c r="D562" s="2" t="s">
        <v>1161</v>
      </c>
      <c r="E562" s="2" t="s">
        <v>1162</v>
      </c>
      <c r="F562" s="2"/>
      <c r="G562" s="4"/>
      <c r="H562" s="2" t="str">
        <f aca="false">IF(C562&gt;CRM_Dashboard!$B$3,"Future-dated",IF(AND(B562=B561,C562&lt;C561),"Date out of sequence",IF(AND(G562&lt;&gt;"",G562&lt;=C562),"Follow-up not after interaction","")))</f>
        <v/>
      </c>
    </row>
    <row r="563" customFormat="false" ht="15" hidden="false" customHeight="false" outlineLevel="0" collapsed="false">
      <c r="A563" s="2" t="s">
        <v>1742</v>
      </c>
      <c r="B563" s="2" t="s">
        <v>874</v>
      </c>
      <c r="C563" s="4" t="n">
        <v>46247</v>
      </c>
      <c r="D563" s="2" t="s">
        <v>1161</v>
      </c>
      <c r="E563" s="2" t="s">
        <v>1167</v>
      </c>
      <c r="F563" s="2" t="s">
        <v>1209</v>
      </c>
      <c r="G563" s="4" t="n">
        <v>46254</v>
      </c>
      <c r="H563" s="2" t="str">
        <f aca="false">IF(C563&gt;CRM_Dashboard!$B$3,"Future-dated",IF(AND(B563=B562,C563&lt;C562),"Date out of sequence",IF(AND(G563&lt;&gt;"",G563&lt;=C563),"Follow-up not after interaction","")))</f>
        <v/>
      </c>
    </row>
    <row r="564" customFormat="false" ht="15" hidden="false" customHeight="false" outlineLevel="0" collapsed="false">
      <c r="A564" s="2" t="s">
        <v>1743</v>
      </c>
      <c r="B564" s="2" t="s">
        <v>878</v>
      </c>
      <c r="C564" s="4" t="n">
        <v>46289</v>
      </c>
      <c r="D564" s="2" t="s">
        <v>1161</v>
      </c>
      <c r="E564" s="2" t="s">
        <v>1162</v>
      </c>
      <c r="F564" s="2"/>
      <c r="G564" s="4"/>
      <c r="H564" s="2" t="str">
        <f aca="false">IF(C564&gt;CRM_Dashboard!$B$3,"Future-dated",IF(AND(B564=B563,C564&lt;C563),"Date out of sequence",IF(AND(G564&lt;&gt;"",G564&lt;=C564),"Follow-up not after interaction","")))</f>
        <v/>
      </c>
    </row>
    <row r="565" customFormat="false" ht="15" hidden="false" customHeight="false" outlineLevel="0" collapsed="false">
      <c r="A565" s="2" t="s">
        <v>1744</v>
      </c>
      <c r="B565" s="2" t="s">
        <v>878</v>
      </c>
      <c r="C565" s="4" t="n">
        <v>46292</v>
      </c>
      <c r="D565" s="2" t="s">
        <v>1161</v>
      </c>
      <c r="E565" s="2" t="s">
        <v>1167</v>
      </c>
      <c r="F565" s="2"/>
      <c r="G565" s="4"/>
      <c r="H565" s="2" t="str">
        <f aca="false">IF(C565&gt;CRM_Dashboard!$B$3,"Future-dated",IF(AND(B565=B564,C565&lt;C564),"Date out of sequence",IF(AND(G565&lt;&gt;"",G565&lt;=C565),"Follow-up not after interaction","")))</f>
        <v/>
      </c>
    </row>
    <row r="566" customFormat="false" ht="15" hidden="false" customHeight="false" outlineLevel="0" collapsed="false">
      <c r="A566" s="2" t="s">
        <v>1745</v>
      </c>
      <c r="B566" s="2" t="s">
        <v>878</v>
      </c>
      <c r="C566" s="4" t="n">
        <v>46290</v>
      </c>
      <c r="D566" s="2" t="s">
        <v>1161</v>
      </c>
      <c r="E566" s="2" t="s">
        <v>1162</v>
      </c>
      <c r="F566" s="2" t="s">
        <v>1165</v>
      </c>
      <c r="G566" s="4"/>
      <c r="H566" s="2" t="str">
        <f aca="false">IF(C566&gt;CRM_Dashboard!$B$3,"Future-dated",IF(AND(B566=B565,C566&lt;C565),"Date out of sequence",IF(AND(G566&lt;&gt;"",G566&lt;=C566),"Follow-up not after interaction","")))</f>
        <v>Date out of sequence</v>
      </c>
    </row>
    <row r="567" customFormat="false" ht="15" hidden="false" customHeight="false" outlineLevel="0" collapsed="false">
      <c r="A567" s="2" t="s">
        <v>1746</v>
      </c>
      <c r="B567" s="2" t="s">
        <v>881</v>
      </c>
      <c r="C567" s="4" t="n">
        <v>46288</v>
      </c>
      <c r="D567" s="2" t="s">
        <v>1161</v>
      </c>
      <c r="E567" s="2" t="s">
        <v>1176</v>
      </c>
      <c r="F567" s="2" t="s">
        <v>1168</v>
      </c>
      <c r="G567" s="4" t="n">
        <v>46291</v>
      </c>
      <c r="H567" s="2" t="str">
        <f aca="false">IF(C567&gt;CRM_Dashboard!$B$3,"Future-dated",IF(AND(B567=B566,C567&lt;C566),"Date out of sequence",IF(AND(G567&lt;&gt;"",G567&lt;=C567),"Follow-up not after interaction","")))</f>
        <v/>
      </c>
    </row>
    <row r="568" customFormat="false" ht="15" hidden="false" customHeight="false" outlineLevel="0" collapsed="false">
      <c r="A568" s="2" t="s">
        <v>1747</v>
      </c>
      <c r="B568" s="2" t="s">
        <v>884</v>
      </c>
      <c r="C568" s="4" t="n">
        <v>46213</v>
      </c>
      <c r="D568" s="2" t="s">
        <v>1161</v>
      </c>
      <c r="E568" s="2" t="s">
        <v>1185</v>
      </c>
      <c r="F568" s="2" t="s">
        <v>1203</v>
      </c>
      <c r="G568" s="4"/>
      <c r="H568" s="2" t="str">
        <f aca="false">IF(C568&gt;CRM_Dashboard!$B$3,"Future-dated",IF(AND(B568=B567,C568&lt;C567),"Date out of sequence",IF(AND(G568&lt;&gt;"",G568&lt;=C568),"Follow-up not after interaction","")))</f>
        <v/>
      </c>
    </row>
    <row r="569" customFormat="false" ht="15" hidden="false" customHeight="false" outlineLevel="0" collapsed="false">
      <c r="A569" s="2" t="s">
        <v>1748</v>
      </c>
      <c r="B569" s="2" t="s">
        <v>887</v>
      </c>
      <c r="C569" s="4" t="n">
        <v>46256</v>
      </c>
      <c r="D569" s="2" t="s">
        <v>1161</v>
      </c>
      <c r="E569" s="2" t="s">
        <v>1167</v>
      </c>
      <c r="F569" s="2" t="s">
        <v>1168</v>
      </c>
      <c r="G569" s="4" t="n">
        <v>46258</v>
      </c>
      <c r="H569" s="2" t="str">
        <f aca="false">IF(C569&gt;CRM_Dashboard!$B$3,"Future-dated",IF(AND(B569=B568,C569&lt;C568),"Date out of sequence",IF(AND(G569&lt;&gt;"",G569&lt;=C569),"Follow-up not after interaction","")))</f>
        <v/>
      </c>
    </row>
    <row r="570" customFormat="false" ht="15" hidden="false" customHeight="false" outlineLevel="0" collapsed="false">
      <c r="A570" s="2" t="s">
        <v>1749</v>
      </c>
      <c r="B570" s="2" t="s">
        <v>890</v>
      </c>
      <c r="C570" s="4" t="n">
        <v>46254</v>
      </c>
      <c r="D570" s="2" t="s">
        <v>1161</v>
      </c>
      <c r="E570" s="2" t="s">
        <v>1173</v>
      </c>
      <c r="F570" s="2" t="s">
        <v>1209</v>
      </c>
      <c r="G570" s="4" t="n">
        <v>46258</v>
      </c>
      <c r="H570" s="2" t="str">
        <f aca="false">IF(C570&gt;CRM_Dashboard!$B$3,"Future-dated",IF(AND(B570=B569,C570&lt;C569),"Date out of sequence",IF(AND(G570&lt;&gt;"",G570&lt;=C570),"Follow-up not after interaction","")))</f>
        <v/>
      </c>
    </row>
    <row r="571" customFormat="false" ht="15" hidden="false" customHeight="false" outlineLevel="0" collapsed="false">
      <c r="A571" s="2" t="s">
        <v>1750</v>
      </c>
      <c r="B571" s="2" t="s">
        <v>893</v>
      </c>
      <c r="C571" s="4" t="n">
        <v>46289</v>
      </c>
      <c r="D571" s="2" t="s">
        <v>1161</v>
      </c>
      <c r="E571" s="2" t="s">
        <v>1162</v>
      </c>
      <c r="F571" s="2"/>
      <c r="G571" s="4"/>
      <c r="H571" s="2" t="str">
        <f aca="false">IF(C571&gt;CRM_Dashboard!$B$3,"Future-dated",IF(AND(B571=B570,C571&lt;C570),"Date out of sequence",IF(AND(G571&lt;&gt;"",G571&lt;=C571),"Follow-up not after interaction","")))</f>
        <v/>
      </c>
    </row>
    <row r="572" customFormat="false" ht="15" hidden="false" customHeight="false" outlineLevel="0" collapsed="false">
      <c r="A572" s="2" t="s">
        <v>1751</v>
      </c>
      <c r="B572" s="2" t="s">
        <v>893</v>
      </c>
      <c r="C572" s="4" t="n">
        <v>46292</v>
      </c>
      <c r="D572" s="2" t="s">
        <v>1161</v>
      </c>
      <c r="E572" s="2" t="s">
        <v>1188</v>
      </c>
      <c r="F572" s="2" t="s">
        <v>1168</v>
      </c>
      <c r="G572" s="4"/>
      <c r="H572" s="2" t="str">
        <f aca="false">IF(C572&gt;CRM_Dashboard!$B$3,"Future-dated",IF(AND(B572=B571,C572&lt;C571),"Date out of sequence",IF(AND(G572&lt;&gt;"",G572&lt;=C572),"Follow-up not after interaction","")))</f>
        <v/>
      </c>
    </row>
    <row r="573" customFormat="false" ht="15" hidden="false" customHeight="false" outlineLevel="0" collapsed="false">
      <c r="A573" s="2" t="s">
        <v>1752</v>
      </c>
      <c r="B573" s="2" t="s">
        <v>897</v>
      </c>
      <c r="C573" s="4" t="n">
        <v>46242</v>
      </c>
      <c r="D573" s="2" t="s">
        <v>1161</v>
      </c>
      <c r="E573" s="2" t="s">
        <v>1185</v>
      </c>
      <c r="F573" s="2" t="s">
        <v>1165</v>
      </c>
      <c r="G573" s="4"/>
      <c r="H573" s="2" t="str">
        <f aca="false">IF(C573&gt;CRM_Dashboard!$B$3,"Future-dated",IF(AND(B573=B572,C573&lt;C572),"Date out of sequence",IF(AND(G573&lt;&gt;"",G573&lt;=C573),"Follow-up not after interaction","")))</f>
        <v/>
      </c>
    </row>
    <row r="574" customFormat="false" ht="15" hidden="false" customHeight="false" outlineLevel="0" collapsed="false">
      <c r="A574" s="2" t="s">
        <v>1753</v>
      </c>
      <c r="B574" s="2" t="s">
        <v>901</v>
      </c>
      <c r="C574" s="4" t="n">
        <v>46270</v>
      </c>
      <c r="D574" s="2" t="s">
        <v>1161</v>
      </c>
      <c r="E574" s="2" t="s">
        <v>1162</v>
      </c>
      <c r="F574" s="2"/>
      <c r="G574" s="4"/>
      <c r="H574" s="2" t="str">
        <f aca="false">IF(C574&gt;CRM_Dashboard!$B$3,"Future-dated",IF(AND(B574=B573,C574&lt;C573),"Date out of sequence",IF(AND(G574&lt;&gt;"",G574&lt;=C574),"Follow-up not after interaction","")))</f>
        <v/>
      </c>
    </row>
    <row r="575" customFormat="false" ht="15" hidden="false" customHeight="false" outlineLevel="0" collapsed="false">
      <c r="A575" s="2" t="s">
        <v>1754</v>
      </c>
      <c r="B575" s="2" t="s">
        <v>901</v>
      </c>
      <c r="C575" s="4" t="n">
        <v>46270</v>
      </c>
      <c r="D575" s="2" t="s">
        <v>1161</v>
      </c>
      <c r="E575" s="2" t="s">
        <v>1179</v>
      </c>
      <c r="F575" s="2"/>
      <c r="G575" s="4"/>
      <c r="H575" s="2" t="str">
        <f aca="false">IF(C575&gt;CRM_Dashboard!$B$3,"Future-dated",IF(AND(B575=B574,C575&lt;C574),"Date out of sequence",IF(AND(G575&lt;&gt;"",G575&lt;=C575),"Follow-up not after interaction","")))</f>
        <v/>
      </c>
    </row>
    <row r="576" customFormat="false" ht="15" hidden="false" customHeight="false" outlineLevel="0" collapsed="false">
      <c r="A576" s="2" t="s">
        <v>1755</v>
      </c>
      <c r="B576" s="2" t="s">
        <v>901</v>
      </c>
      <c r="C576" s="4" t="n">
        <v>46277</v>
      </c>
      <c r="D576" s="2" t="s">
        <v>1161</v>
      </c>
      <c r="E576" s="2" t="s">
        <v>1162</v>
      </c>
      <c r="F576" s="2" t="s">
        <v>1209</v>
      </c>
      <c r="G576" s="4"/>
      <c r="H576" s="2" t="str">
        <f aca="false">IF(C576&gt;CRM_Dashboard!$B$3,"Future-dated",IF(AND(B576=B575,C576&lt;C575),"Date out of sequence",IF(AND(G576&lt;&gt;"",G576&lt;=C576),"Follow-up not after interaction","")))</f>
        <v/>
      </c>
    </row>
    <row r="577" customFormat="false" ht="15" hidden="false" customHeight="false" outlineLevel="0" collapsed="false">
      <c r="A577" s="2" t="s">
        <v>1756</v>
      </c>
      <c r="B577" s="2" t="s">
        <v>904</v>
      </c>
      <c r="C577" s="4" t="n">
        <v>46205</v>
      </c>
      <c r="D577" s="2" t="s">
        <v>1161</v>
      </c>
      <c r="E577" s="2" t="s">
        <v>1162</v>
      </c>
      <c r="F577" s="2"/>
      <c r="G577" s="4"/>
      <c r="H577" s="2" t="str">
        <f aca="false">IF(C577&gt;CRM_Dashboard!$B$3,"Future-dated",IF(AND(B577=B576,C577&lt;C576),"Date out of sequence",IF(AND(G577&lt;&gt;"",G577&lt;=C577),"Follow-up not after interaction","")))</f>
        <v/>
      </c>
    </row>
    <row r="578" customFormat="false" ht="15" hidden="false" customHeight="false" outlineLevel="0" collapsed="false">
      <c r="A578" s="2" t="s">
        <v>1757</v>
      </c>
      <c r="B578" s="2" t="s">
        <v>904</v>
      </c>
      <c r="C578" s="4" t="n">
        <v>46209</v>
      </c>
      <c r="D578" s="2" t="s">
        <v>1161</v>
      </c>
      <c r="E578" s="2" t="s">
        <v>1173</v>
      </c>
      <c r="F578" s="2" t="s">
        <v>1177</v>
      </c>
      <c r="G578" s="4" t="n">
        <v>46208</v>
      </c>
      <c r="H578" s="2" t="str">
        <f aca="false">IF(C578&gt;CRM_Dashboard!$B$3,"Future-dated",IF(AND(B578=B577,C578&lt;C577),"Date out of sequence",IF(AND(G578&lt;&gt;"",G578&lt;=C578),"Follow-up not after interaction","")))</f>
        <v>Follow-up not after interaction</v>
      </c>
    </row>
    <row r="579" customFormat="false" ht="15" hidden="false" customHeight="false" outlineLevel="0" collapsed="false">
      <c r="A579" s="2" t="s">
        <v>1758</v>
      </c>
      <c r="B579" s="2" t="s">
        <v>908</v>
      </c>
      <c r="C579" s="4" t="n">
        <v>46245</v>
      </c>
      <c r="D579" s="2" t="s">
        <v>1161</v>
      </c>
      <c r="E579" s="2" t="s">
        <v>1252</v>
      </c>
      <c r="F579" s="2"/>
      <c r="G579" s="4"/>
      <c r="H579" s="2" t="str">
        <f aca="false">IF(C579&gt;CRM_Dashboard!$B$3,"Future-dated",IF(AND(B579=B578,C579&lt;C578),"Date out of sequence",IF(AND(G579&lt;&gt;"",G579&lt;=C579),"Follow-up not after interaction","")))</f>
        <v/>
      </c>
    </row>
    <row r="580" customFormat="false" ht="15" hidden="false" customHeight="false" outlineLevel="0" collapsed="false">
      <c r="A580" s="2" t="s">
        <v>1759</v>
      </c>
      <c r="B580" s="2" t="s">
        <v>908</v>
      </c>
      <c r="C580" s="4" t="n">
        <v>46244</v>
      </c>
      <c r="D580" s="2" t="s">
        <v>1161</v>
      </c>
      <c r="E580" s="2" t="s">
        <v>1167</v>
      </c>
      <c r="F580" s="2"/>
      <c r="G580" s="4"/>
      <c r="H580" s="2" t="str">
        <f aca="false">IF(C580&gt;CRM_Dashboard!$B$3,"Future-dated",IF(AND(B580=B579,C580&lt;C579),"Date out of sequence",IF(AND(G580&lt;&gt;"",G580&lt;=C580),"Follow-up not after interaction","")))</f>
        <v>Date out of sequence</v>
      </c>
    </row>
    <row r="581" customFormat="false" ht="15" hidden="false" customHeight="false" outlineLevel="0" collapsed="false">
      <c r="A581" s="2" t="s">
        <v>1760</v>
      </c>
      <c r="B581" s="2" t="s">
        <v>908</v>
      </c>
      <c r="C581" s="4" t="n">
        <v>46246</v>
      </c>
      <c r="D581" s="2" t="s">
        <v>1161</v>
      </c>
      <c r="E581" s="2" t="s">
        <v>1162</v>
      </c>
      <c r="F581" s="2" t="s">
        <v>1174</v>
      </c>
      <c r="G581" s="4"/>
      <c r="H581" s="2" t="str">
        <f aca="false">IF(C581&gt;CRM_Dashboard!$B$3,"Future-dated",IF(AND(B581=B580,C581&lt;C580),"Date out of sequence",IF(AND(G581&lt;&gt;"",G581&lt;=C581),"Follow-up not after interaction","")))</f>
        <v/>
      </c>
    </row>
    <row r="582" customFormat="false" ht="15" hidden="false" customHeight="false" outlineLevel="0" collapsed="false">
      <c r="A582" s="2" t="s">
        <v>1761</v>
      </c>
      <c r="B582" s="2" t="s">
        <v>912</v>
      </c>
      <c r="C582" s="4" t="n">
        <v>46245</v>
      </c>
      <c r="D582" s="2" t="s">
        <v>1161</v>
      </c>
      <c r="E582" s="2" t="s">
        <v>1162</v>
      </c>
      <c r="F582" s="2"/>
      <c r="G582" s="4"/>
      <c r="H582" s="2" t="str">
        <f aca="false">IF(C582&gt;CRM_Dashboard!$B$3,"Future-dated",IF(AND(B582=B581,C582&lt;C581),"Date out of sequence",IF(AND(G582&lt;&gt;"",G582&lt;=C582),"Follow-up not after interaction","")))</f>
        <v/>
      </c>
    </row>
    <row r="583" customFormat="false" ht="15" hidden="false" customHeight="false" outlineLevel="0" collapsed="false">
      <c r="A583" s="2" t="s">
        <v>1762</v>
      </c>
      <c r="B583" s="2" t="s">
        <v>912</v>
      </c>
      <c r="C583" s="4" t="n">
        <v>46244</v>
      </c>
      <c r="D583" s="2" t="s">
        <v>1161</v>
      </c>
      <c r="E583" s="2" t="s">
        <v>1176</v>
      </c>
      <c r="F583" s="2"/>
      <c r="G583" s="4"/>
      <c r="H583" s="2" t="str">
        <f aca="false">IF(C583&gt;CRM_Dashboard!$B$3,"Future-dated",IF(AND(B583=B582,C583&lt;C582),"Date out of sequence",IF(AND(G583&lt;&gt;"",G583&lt;=C583),"Follow-up not after interaction","")))</f>
        <v>Date out of sequence</v>
      </c>
    </row>
    <row r="584" customFormat="false" ht="15" hidden="false" customHeight="false" outlineLevel="0" collapsed="false">
      <c r="A584" s="2" t="s">
        <v>1763</v>
      </c>
      <c r="B584" s="2" t="s">
        <v>912</v>
      </c>
      <c r="C584" s="4" t="n">
        <v>46251</v>
      </c>
      <c r="D584" s="2" t="s">
        <v>1161</v>
      </c>
      <c r="E584" s="2" t="s">
        <v>1173</v>
      </c>
      <c r="F584" s="2" t="s">
        <v>1174</v>
      </c>
      <c r="G584" s="4" t="n">
        <v>46248</v>
      </c>
      <c r="H584" s="2" t="str">
        <f aca="false">IF(C584&gt;CRM_Dashboard!$B$3,"Future-dated",IF(AND(B584=B583,C584&lt;C583),"Date out of sequence",IF(AND(G584&lt;&gt;"",G584&lt;=C584),"Follow-up not after interaction","")))</f>
        <v>Follow-up not after interaction</v>
      </c>
    </row>
    <row r="585" customFormat="false" ht="15" hidden="false" customHeight="false" outlineLevel="0" collapsed="false">
      <c r="A585" s="2" t="s">
        <v>1764</v>
      </c>
      <c r="B585" s="2" t="s">
        <v>916</v>
      </c>
      <c r="C585" s="4" t="n">
        <v>46232</v>
      </c>
      <c r="D585" s="2" t="s">
        <v>1161</v>
      </c>
      <c r="E585" s="2" t="s">
        <v>1162</v>
      </c>
      <c r="F585" s="2"/>
      <c r="G585" s="4"/>
      <c r="H585" s="2" t="str">
        <f aca="false">IF(C585&gt;CRM_Dashboard!$B$3,"Future-dated",IF(AND(B585=B584,C585&lt;C584),"Date out of sequence",IF(AND(G585&lt;&gt;"",G585&lt;=C585),"Follow-up not after interaction","")))</f>
        <v/>
      </c>
    </row>
    <row r="586" customFormat="false" ht="15" hidden="false" customHeight="false" outlineLevel="0" collapsed="false">
      <c r="A586" s="2" t="s">
        <v>1765</v>
      </c>
      <c r="B586" s="2" t="s">
        <v>916</v>
      </c>
      <c r="C586" s="4" t="n">
        <v>46233</v>
      </c>
      <c r="D586" s="2" t="s">
        <v>1161</v>
      </c>
      <c r="E586" s="2" t="s">
        <v>1185</v>
      </c>
      <c r="F586" s="2" t="s">
        <v>1203</v>
      </c>
      <c r="G586" s="4"/>
      <c r="H586" s="2" t="str">
        <f aca="false">IF(C586&gt;CRM_Dashboard!$B$3,"Future-dated",IF(AND(B586=B585,C586&lt;C585),"Date out of sequence",IF(AND(G586&lt;&gt;"",G586&lt;=C586),"Follow-up not after interaction","")))</f>
        <v/>
      </c>
    </row>
    <row r="587" customFormat="false" ht="15" hidden="false" customHeight="false" outlineLevel="0" collapsed="false">
      <c r="A587" s="2" t="s">
        <v>1766</v>
      </c>
      <c r="B587" s="2" t="s">
        <v>919</v>
      </c>
      <c r="C587" s="4" t="n">
        <v>46247</v>
      </c>
      <c r="D587" s="2" t="s">
        <v>1161</v>
      </c>
      <c r="E587" s="2" t="s">
        <v>1162</v>
      </c>
      <c r="F587" s="2" t="s">
        <v>1165</v>
      </c>
      <c r="G587" s="4"/>
      <c r="H587" s="2" t="str">
        <f aca="false">IF(C587&gt;CRM_Dashboard!$B$3,"Future-dated",IF(AND(B587=B586,C587&lt;C586),"Date out of sequence",IF(AND(G587&lt;&gt;"",G587&lt;=C587),"Follow-up not after interaction","")))</f>
        <v/>
      </c>
    </row>
    <row r="588" customFormat="false" ht="15" hidden="false" customHeight="false" outlineLevel="0" collapsed="false">
      <c r="A588" s="2" t="s">
        <v>1767</v>
      </c>
      <c r="B588" s="2" t="s">
        <v>923</v>
      </c>
      <c r="C588" s="4" t="n">
        <v>46233</v>
      </c>
      <c r="D588" s="2" t="s">
        <v>1161</v>
      </c>
      <c r="E588" s="2" t="s">
        <v>1188</v>
      </c>
      <c r="F588" s="2"/>
      <c r="G588" s="4"/>
      <c r="H588" s="2" t="str">
        <f aca="false">IF(C588&gt;CRM_Dashboard!$B$3,"Future-dated",IF(AND(B588=B587,C588&lt;C587),"Date out of sequence",IF(AND(G588&lt;&gt;"",G588&lt;=C588),"Follow-up not after interaction","")))</f>
        <v/>
      </c>
    </row>
    <row r="589" customFormat="false" ht="15" hidden="false" customHeight="false" outlineLevel="0" collapsed="false">
      <c r="A589" s="2" t="s">
        <v>1768</v>
      </c>
      <c r="B589" s="2" t="s">
        <v>923</v>
      </c>
      <c r="C589" s="4" t="n">
        <v>46238</v>
      </c>
      <c r="D589" s="2" t="s">
        <v>1161</v>
      </c>
      <c r="E589" s="2" t="s">
        <v>1173</v>
      </c>
      <c r="F589" s="2"/>
      <c r="G589" s="4"/>
      <c r="H589" s="2" t="str">
        <f aca="false">IF(C589&gt;CRM_Dashboard!$B$3,"Future-dated",IF(AND(B589=B588,C589&lt;C588),"Date out of sequence",IF(AND(G589&lt;&gt;"",G589&lt;=C589),"Follow-up not after interaction","")))</f>
        <v/>
      </c>
    </row>
    <row r="590" customFormat="false" ht="15" hidden="false" customHeight="false" outlineLevel="0" collapsed="false">
      <c r="A590" s="2" t="s">
        <v>1769</v>
      </c>
      <c r="B590" s="2" t="s">
        <v>923</v>
      </c>
      <c r="C590" s="4" t="n">
        <v>46237</v>
      </c>
      <c r="D590" s="2" t="s">
        <v>1161</v>
      </c>
      <c r="E590" s="2" t="s">
        <v>1171</v>
      </c>
      <c r="F590" s="2"/>
      <c r="G590" s="4"/>
      <c r="H590" s="2" t="str">
        <f aca="false">IF(C590&gt;CRM_Dashboard!$B$3,"Future-dated",IF(AND(B590=B589,C590&lt;C589),"Date out of sequence",IF(AND(G590&lt;&gt;"",G590&lt;=C590),"Follow-up not after interaction","")))</f>
        <v>Date out of sequence</v>
      </c>
    </row>
    <row r="591" customFormat="false" ht="15" hidden="false" customHeight="false" outlineLevel="0" collapsed="false">
      <c r="A591" s="2" t="s">
        <v>1770</v>
      </c>
      <c r="B591" s="2" t="s">
        <v>923</v>
      </c>
      <c r="C591" s="4" t="n">
        <v>46234</v>
      </c>
      <c r="D591" s="2" t="s">
        <v>1161</v>
      </c>
      <c r="E591" s="2" t="s">
        <v>1162</v>
      </c>
      <c r="F591" s="2" t="s">
        <v>1209</v>
      </c>
      <c r="G591" s="4"/>
      <c r="H591" s="2" t="str">
        <f aca="false">IF(C591&gt;CRM_Dashboard!$B$3,"Future-dated",IF(AND(B591=B590,C591&lt;C590),"Date out of sequence",IF(AND(G591&lt;&gt;"",G591&lt;=C591),"Follow-up not after interaction","")))</f>
        <v>Date out of sequence</v>
      </c>
    </row>
    <row r="592" customFormat="false" ht="15" hidden="false" customHeight="false" outlineLevel="0" collapsed="false">
      <c r="A592" s="2" t="s">
        <v>1771</v>
      </c>
      <c r="B592" s="2" t="s">
        <v>927</v>
      </c>
      <c r="C592" s="4" t="n">
        <v>46221</v>
      </c>
      <c r="D592" s="2" t="s">
        <v>1161</v>
      </c>
      <c r="E592" s="2" t="s">
        <v>1173</v>
      </c>
      <c r="F592" s="2"/>
      <c r="G592" s="4"/>
      <c r="H592" s="2" t="str">
        <f aca="false">IF(C592&gt;CRM_Dashboard!$B$3,"Future-dated",IF(AND(B592=B591,C592&lt;C591),"Date out of sequence",IF(AND(G592&lt;&gt;"",G592&lt;=C592),"Follow-up not after interaction","")))</f>
        <v/>
      </c>
    </row>
    <row r="593" customFormat="false" ht="15" hidden="false" customHeight="false" outlineLevel="0" collapsed="false">
      <c r="A593" s="2" t="s">
        <v>1772</v>
      </c>
      <c r="B593" s="2" t="s">
        <v>927</v>
      </c>
      <c r="C593" s="4" t="n">
        <v>46223</v>
      </c>
      <c r="D593" s="2" t="s">
        <v>1161</v>
      </c>
      <c r="E593" s="2" t="s">
        <v>1179</v>
      </c>
      <c r="F593" s="2" t="s">
        <v>1195</v>
      </c>
      <c r="G593" s="4"/>
      <c r="H593" s="2" t="str">
        <f aca="false">IF(C593&gt;CRM_Dashboard!$B$3,"Future-dated",IF(AND(B593=B592,C593&lt;C592),"Date out of sequence",IF(AND(G593&lt;&gt;"",G593&lt;=C593),"Follow-up not after interaction","")))</f>
        <v/>
      </c>
    </row>
    <row r="594" customFormat="false" ht="15" hidden="false" customHeight="false" outlineLevel="0" collapsed="false">
      <c r="A594" s="2" t="s">
        <v>1773</v>
      </c>
      <c r="B594" s="2" t="s">
        <v>930</v>
      </c>
      <c r="C594" s="4" t="n">
        <v>46233</v>
      </c>
      <c r="D594" s="2" t="s">
        <v>1161</v>
      </c>
      <c r="E594" s="2" t="s">
        <v>1188</v>
      </c>
      <c r="F594" s="2"/>
      <c r="G594" s="4"/>
      <c r="H594" s="2" t="str">
        <f aca="false">IF(C594&gt;CRM_Dashboard!$B$3,"Future-dated",IF(AND(B594=B593,C594&lt;C593),"Date out of sequence",IF(AND(G594&lt;&gt;"",G594&lt;=C594),"Follow-up not after interaction","")))</f>
        <v/>
      </c>
    </row>
    <row r="595" customFormat="false" ht="15" hidden="false" customHeight="false" outlineLevel="0" collapsed="false">
      <c r="A595" s="2" t="s">
        <v>1774</v>
      </c>
      <c r="B595" s="2" t="s">
        <v>930</v>
      </c>
      <c r="C595" s="4" t="n">
        <v>46232</v>
      </c>
      <c r="D595" s="2" t="s">
        <v>1161</v>
      </c>
      <c r="E595" s="2" t="s">
        <v>1167</v>
      </c>
      <c r="F595" s="2" t="s">
        <v>1183</v>
      </c>
      <c r="G595" s="4" t="n">
        <v>46232</v>
      </c>
      <c r="H595" s="2" t="str">
        <f aca="false">IF(C595&gt;CRM_Dashboard!$B$3,"Future-dated",IF(AND(B595=B594,C595&lt;C594),"Date out of sequence",IF(AND(G595&lt;&gt;"",G595&lt;=C595),"Follow-up not after interaction","")))</f>
        <v>Date out of sequence</v>
      </c>
    </row>
    <row r="596" customFormat="false" ht="15" hidden="false" customHeight="false" outlineLevel="0" collapsed="false">
      <c r="A596" s="2" t="s">
        <v>1775</v>
      </c>
      <c r="B596" s="2" t="s">
        <v>933</v>
      </c>
      <c r="C596" s="4" t="n">
        <v>46264</v>
      </c>
      <c r="D596" s="2" t="s">
        <v>1161</v>
      </c>
      <c r="E596" s="2" t="s">
        <v>1176</v>
      </c>
      <c r="F596" s="2"/>
      <c r="G596" s="4"/>
      <c r="H596" s="2" t="str">
        <f aca="false">IF(C596&gt;CRM_Dashboard!$B$3,"Future-dated",IF(AND(B596=B595,C596&lt;C595),"Date out of sequence",IF(AND(G596&lt;&gt;"",G596&lt;=C596),"Follow-up not after interaction","")))</f>
        <v/>
      </c>
    </row>
    <row r="597" customFormat="false" ht="15" hidden="false" customHeight="false" outlineLevel="0" collapsed="false">
      <c r="A597" s="2" t="s">
        <v>1776</v>
      </c>
      <c r="B597" s="2" t="s">
        <v>933</v>
      </c>
      <c r="C597" s="4" t="n">
        <v>46262</v>
      </c>
      <c r="D597" s="2" t="s">
        <v>1161</v>
      </c>
      <c r="E597" s="2" t="s">
        <v>1179</v>
      </c>
      <c r="F597" s="2"/>
      <c r="G597" s="4"/>
      <c r="H597" s="2" t="str">
        <f aca="false">IF(C597&gt;CRM_Dashboard!$B$3,"Future-dated",IF(AND(B597=B596,C597&lt;C596),"Date out of sequence",IF(AND(G597&lt;&gt;"",G597&lt;=C597),"Follow-up not after interaction","")))</f>
        <v>Date out of sequence</v>
      </c>
    </row>
    <row r="598" customFormat="false" ht="15" hidden="false" customHeight="false" outlineLevel="0" collapsed="false">
      <c r="A598" s="2" t="s">
        <v>1777</v>
      </c>
      <c r="B598" s="2" t="s">
        <v>933</v>
      </c>
      <c r="C598" s="4" t="n">
        <v>46264</v>
      </c>
      <c r="D598" s="2" t="s">
        <v>1161</v>
      </c>
      <c r="E598" s="2" t="s">
        <v>1162</v>
      </c>
      <c r="F598" s="2" t="s">
        <v>1168</v>
      </c>
      <c r="G598" s="4"/>
      <c r="H598" s="2" t="str">
        <f aca="false">IF(C598&gt;CRM_Dashboard!$B$3,"Future-dated",IF(AND(B598=B597,C598&lt;C597),"Date out of sequence",IF(AND(G598&lt;&gt;"",G598&lt;=C598),"Follow-up not after interaction","")))</f>
        <v/>
      </c>
    </row>
    <row r="599" customFormat="false" ht="15" hidden="false" customHeight="false" outlineLevel="0" collapsed="false">
      <c r="A599" s="2" t="s">
        <v>1778</v>
      </c>
      <c r="B599" s="2" t="s">
        <v>936</v>
      </c>
      <c r="C599" s="4" t="n">
        <v>46238</v>
      </c>
      <c r="D599" s="2" t="s">
        <v>1161</v>
      </c>
      <c r="E599" s="2" t="s">
        <v>1176</v>
      </c>
      <c r="F599" s="2"/>
      <c r="G599" s="4"/>
      <c r="H599" s="2" t="str">
        <f aca="false">IF(C599&gt;CRM_Dashboard!$B$3,"Future-dated",IF(AND(B599=B598,C599&lt;C598),"Date out of sequence",IF(AND(G599&lt;&gt;"",G599&lt;=C599),"Follow-up not after interaction","")))</f>
        <v/>
      </c>
    </row>
    <row r="600" customFormat="false" ht="15" hidden="false" customHeight="false" outlineLevel="0" collapsed="false">
      <c r="A600" s="2" t="s">
        <v>1779</v>
      </c>
      <c r="B600" s="2" t="s">
        <v>936</v>
      </c>
      <c r="C600" s="4" t="n">
        <v>46239</v>
      </c>
      <c r="D600" s="2" t="s">
        <v>1161</v>
      </c>
      <c r="E600" s="2" t="s">
        <v>1162</v>
      </c>
      <c r="F600" s="2"/>
      <c r="G600" s="4"/>
      <c r="H600" s="2" t="str">
        <f aca="false">IF(C600&gt;CRM_Dashboard!$B$3,"Future-dated",IF(AND(B600=B599,C600&lt;C599),"Date out of sequence",IF(AND(G600&lt;&gt;"",G600&lt;=C600),"Follow-up not after interaction","")))</f>
        <v/>
      </c>
    </row>
    <row r="601" customFormat="false" ht="15" hidden="false" customHeight="false" outlineLevel="0" collapsed="false">
      <c r="A601" s="2" t="s">
        <v>1780</v>
      </c>
      <c r="B601" s="2" t="s">
        <v>936</v>
      </c>
      <c r="C601" s="4" t="n">
        <v>46237</v>
      </c>
      <c r="D601" s="2" t="s">
        <v>1161</v>
      </c>
      <c r="E601" s="2" t="s">
        <v>1173</v>
      </c>
      <c r="F601" s="2" t="s">
        <v>1177</v>
      </c>
      <c r="G601" s="4" t="n">
        <v>46238</v>
      </c>
      <c r="H601" s="2" t="str">
        <f aca="false">IF(C601&gt;CRM_Dashboard!$B$3,"Future-dated",IF(AND(B601=B600,C601&lt;C600),"Date out of sequence",IF(AND(G601&lt;&gt;"",G601&lt;=C601),"Follow-up not after interaction","")))</f>
        <v>Date out of sequence</v>
      </c>
    </row>
    <row r="602" customFormat="false" ht="15" hidden="false" customHeight="false" outlineLevel="0" collapsed="false">
      <c r="A602" s="2" t="s">
        <v>1781</v>
      </c>
      <c r="B602" s="2" t="s">
        <v>939</v>
      </c>
      <c r="C602" s="4" t="n">
        <v>46221</v>
      </c>
      <c r="D602" s="2" t="s">
        <v>1161</v>
      </c>
      <c r="E602" s="2" t="s">
        <v>1162</v>
      </c>
      <c r="F602" s="2"/>
      <c r="G602" s="4"/>
      <c r="H602" s="2" t="str">
        <f aca="false">IF(C602&gt;CRM_Dashboard!$B$3,"Future-dated",IF(AND(B602=B601,C602&lt;C601),"Date out of sequence",IF(AND(G602&lt;&gt;"",G602&lt;=C602),"Follow-up not after interaction","")))</f>
        <v/>
      </c>
    </row>
    <row r="603" customFormat="false" ht="15" hidden="false" customHeight="false" outlineLevel="0" collapsed="false">
      <c r="A603" s="2" t="s">
        <v>1782</v>
      </c>
      <c r="B603" s="2" t="s">
        <v>939</v>
      </c>
      <c r="C603" s="4" t="n">
        <v>46223</v>
      </c>
      <c r="D603" s="2" t="s">
        <v>1161</v>
      </c>
      <c r="E603" s="2" t="s">
        <v>1162</v>
      </c>
      <c r="F603" s="2" t="s">
        <v>1165</v>
      </c>
      <c r="G603" s="4"/>
      <c r="H603" s="2" t="str">
        <f aca="false">IF(C603&gt;CRM_Dashboard!$B$3,"Future-dated",IF(AND(B603=B602,C603&lt;C602),"Date out of sequence",IF(AND(G603&lt;&gt;"",G603&lt;=C603),"Follow-up not after interaction","")))</f>
        <v/>
      </c>
    </row>
    <row r="604" customFormat="false" ht="15" hidden="false" customHeight="false" outlineLevel="0" collapsed="false">
      <c r="A604" s="2" t="s">
        <v>1783</v>
      </c>
      <c r="B604" s="2" t="s">
        <v>943</v>
      </c>
      <c r="C604" s="4" t="n">
        <v>46238</v>
      </c>
      <c r="D604" s="2" t="s">
        <v>1161</v>
      </c>
      <c r="E604" s="2" t="s">
        <v>1162</v>
      </c>
      <c r="F604" s="2" t="s">
        <v>1165</v>
      </c>
      <c r="G604" s="4"/>
      <c r="H604" s="2" t="str">
        <f aca="false">IF(C604&gt;CRM_Dashboard!$B$3,"Future-dated",IF(AND(B604=B603,C604&lt;C603),"Date out of sequence",IF(AND(G604&lt;&gt;"",G604&lt;=C604),"Follow-up not after interaction","")))</f>
        <v/>
      </c>
    </row>
    <row r="605" customFormat="false" ht="15" hidden="false" customHeight="false" outlineLevel="0" collapsed="false">
      <c r="A605" s="2" t="s">
        <v>1784</v>
      </c>
      <c r="B605" s="2" t="s">
        <v>947</v>
      </c>
      <c r="C605" s="4" t="n">
        <v>46214</v>
      </c>
      <c r="D605" s="2" t="s">
        <v>1161</v>
      </c>
      <c r="E605" s="2" t="s">
        <v>1185</v>
      </c>
      <c r="F605" s="2"/>
      <c r="G605" s="4"/>
      <c r="H605" s="2" t="str">
        <f aca="false">IF(C605&gt;CRM_Dashboard!$B$3,"Future-dated",IF(AND(B605=B604,C605&lt;C604),"Date out of sequence",IF(AND(G605&lt;&gt;"",G605&lt;=C605),"Follow-up not after interaction","")))</f>
        <v/>
      </c>
    </row>
    <row r="606" customFormat="false" ht="15" hidden="false" customHeight="false" outlineLevel="0" collapsed="false">
      <c r="A606" s="2" t="s">
        <v>1785</v>
      </c>
      <c r="B606" s="2" t="s">
        <v>947</v>
      </c>
      <c r="C606" s="4" t="n">
        <v>46215</v>
      </c>
      <c r="D606" s="2" t="s">
        <v>1161</v>
      </c>
      <c r="E606" s="2" t="s">
        <v>1176</v>
      </c>
      <c r="F606" s="2" t="s">
        <v>1177</v>
      </c>
      <c r="G606" s="4" t="n">
        <v>46218</v>
      </c>
      <c r="H606" s="2" t="str">
        <f aca="false">IF(C606&gt;CRM_Dashboard!$B$3,"Future-dated",IF(AND(B606=B605,C606&lt;C605),"Date out of sequence",IF(AND(G606&lt;&gt;"",G606&lt;=C606),"Follow-up not after interaction","")))</f>
        <v/>
      </c>
    </row>
    <row r="607" customFormat="false" ht="15" hidden="false" customHeight="false" outlineLevel="0" collapsed="false">
      <c r="A607" s="2" t="s">
        <v>1786</v>
      </c>
      <c r="B607" s="2" t="s">
        <v>950</v>
      </c>
      <c r="C607" s="4" t="n">
        <v>46243</v>
      </c>
      <c r="D607" s="2" t="s">
        <v>1161</v>
      </c>
      <c r="E607" s="2" t="s">
        <v>1176</v>
      </c>
      <c r="F607" s="2"/>
      <c r="G607" s="4"/>
      <c r="H607" s="2" t="str">
        <f aca="false">IF(C607&gt;CRM_Dashboard!$B$3,"Future-dated",IF(AND(B607=B606,C607&lt;C606),"Date out of sequence",IF(AND(G607&lt;&gt;"",G607&lt;=C607),"Follow-up not after interaction","")))</f>
        <v/>
      </c>
    </row>
    <row r="608" customFormat="false" ht="15" hidden="false" customHeight="false" outlineLevel="0" collapsed="false">
      <c r="A608" s="2" t="s">
        <v>1787</v>
      </c>
      <c r="B608" s="2" t="s">
        <v>950</v>
      </c>
      <c r="C608" s="4" t="n">
        <v>46241</v>
      </c>
      <c r="D608" s="2" t="s">
        <v>1161</v>
      </c>
      <c r="E608" s="2" t="s">
        <v>1162</v>
      </c>
      <c r="F608" s="2"/>
      <c r="G608" s="4"/>
      <c r="H608" s="2" t="str">
        <f aca="false">IF(C608&gt;CRM_Dashboard!$B$3,"Future-dated",IF(AND(B608=B607,C608&lt;C607),"Date out of sequence",IF(AND(G608&lt;&gt;"",G608&lt;=C608),"Follow-up not after interaction","")))</f>
        <v>Date out of sequence</v>
      </c>
    </row>
    <row r="609" customFormat="false" ht="15" hidden="false" customHeight="false" outlineLevel="0" collapsed="false">
      <c r="A609" s="2" t="s">
        <v>1788</v>
      </c>
      <c r="B609" s="2" t="s">
        <v>950</v>
      </c>
      <c r="C609" s="4" t="n">
        <v>46241</v>
      </c>
      <c r="D609" s="2" t="s">
        <v>1161</v>
      </c>
      <c r="E609" s="2" t="s">
        <v>1167</v>
      </c>
      <c r="F609" s="2" t="s">
        <v>1195</v>
      </c>
      <c r="G609" s="4" t="n">
        <v>46244</v>
      </c>
      <c r="H609" s="2" t="str">
        <f aca="false">IF(C609&gt;CRM_Dashboard!$B$3,"Future-dated",IF(AND(B609=B608,C609&lt;C608),"Date out of sequence",IF(AND(G609&lt;&gt;"",G609&lt;=C609),"Follow-up not after interaction","")))</f>
        <v/>
      </c>
    </row>
    <row r="610" customFormat="false" ht="15" hidden="false" customHeight="false" outlineLevel="0" collapsed="false">
      <c r="A610" s="2" t="s">
        <v>1789</v>
      </c>
      <c r="B610" s="2" t="s">
        <v>954</v>
      </c>
      <c r="C610" s="4" t="n">
        <v>46259</v>
      </c>
      <c r="D610" s="2" t="s">
        <v>1161</v>
      </c>
      <c r="E610" s="2" t="s">
        <v>1167</v>
      </c>
      <c r="F610" s="2"/>
      <c r="G610" s="4"/>
      <c r="H610" s="2" t="str">
        <f aca="false">IF(C610&gt;CRM_Dashboard!$B$3,"Future-dated",IF(AND(B610=B609,C610&lt;C609),"Date out of sequence",IF(AND(G610&lt;&gt;"",G610&lt;=C610),"Follow-up not after interaction","")))</f>
        <v/>
      </c>
    </row>
    <row r="611" customFormat="false" ht="15" hidden="false" customHeight="false" outlineLevel="0" collapsed="false">
      <c r="A611" s="2" t="s">
        <v>1790</v>
      </c>
      <c r="B611" s="2" t="s">
        <v>954</v>
      </c>
      <c r="C611" s="4" t="n">
        <v>46260</v>
      </c>
      <c r="D611" s="2" t="s">
        <v>1161</v>
      </c>
      <c r="E611" s="2" t="s">
        <v>1252</v>
      </c>
      <c r="F611" s="2" t="s">
        <v>1183</v>
      </c>
      <c r="G611" s="4"/>
      <c r="H611" s="2" t="str">
        <f aca="false">IF(C611&gt;CRM_Dashboard!$B$3,"Future-dated",IF(AND(B611=B610,C611&lt;C610),"Date out of sequence",IF(AND(G611&lt;&gt;"",G611&lt;=C611),"Follow-up not after interaction","")))</f>
        <v/>
      </c>
    </row>
    <row r="612" customFormat="false" ht="15" hidden="false" customHeight="false" outlineLevel="0" collapsed="false">
      <c r="A612" s="2" t="s">
        <v>1791</v>
      </c>
      <c r="B612" s="2" t="s">
        <v>958</v>
      </c>
      <c r="C612" s="4" t="n">
        <v>46270</v>
      </c>
      <c r="D612" s="2" t="s">
        <v>1161</v>
      </c>
      <c r="E612" s="2" t="s">
        <v>1185</v>
      </c>
      <c r="F612" s="2"/>
      <c r="G612" s="4"/>
      <c r="H612" s="2" t="str">
        <f aca="false">IF(C612&gt;CRM_Dashboard!$B$3,"Future-dated",IF(AND(B612=B611,C612&lt;C611),"Date out of sequence",IF(AND(G612&lt;&gt;"",G612&lt;=C612),"Follow-up not after interaction","")))</f>
        <v/>
      </c>
    </row>
    <row r="613" customFormat="false" ht="15" hidden="false" customHeight="false" outlineLevel="0" collapsed="false">
      <c r="A613" s="2" t="s">
        <v>1792</v>
      </c>
      <c r="B613" s="2" t="s">
        <v>958</v>
      </c>
      <c r="C613" s="4" t="n">
        <v>46270</v>
      </c>
      <c r="D613" s="2" t="s">
        <v>1161</v>
      </c>
      <c r="E613" s="2" t="s">
        <v>1176</v>
      </c>
      <c r="F613" s="2"/>
      <c r="G613" s="4"/>
      <c r="H613" s="2" t="str">
        <f aca="false">IF(C613&gt;CRM_Dashboard!$B$3,"Future-dated",IF(AND(B613=B612,C613&lt;C612),"Date out of sequence",IF(AND(G613&lt;&gt;"",G613&lt;=C613),"Follow-up not after interaction","")))</f>
        <v/>
      </c>
    </row>
    <row r="614" customFormat="false" ht="15" hidden="false" customHeight="false" outlineLevel="0" collapsed="false">
      <c r="A614" s="2" t="s">
        <v>1793</v>
      </c>
      <c r="B614" s="2" t="s">
        <v>958</v>
      </c>
      <c r="C614" s="4" t="n">
        <v>46267</v>
      </c>
      <c r="D614" s="2" t="s">
        <v>1161</v>
      </c>
      <c r="E614" s="2" t="s">
        <v>1176</v>
      </c>
      <c r="F614" s="2" t="s">
        <v>1183</v>
      </c>
      <c r="G614" s="4" t="n">
        <v>46272</v>
      </c>
      <c r="H614" s="2" t="str">
        <f aca="false">IF(C614&gt;CRM_Dashboard!$B$3,"Future-dated",IF(AND(B614=B613,C614&lt;C613),"Date out of sequence",IF(AND(G614&lt;&gt;"",G614&lt;=C614),"Follow-up not after interaction","")))</f>
        <v>Date out of sequence</v>
      </c>
    </row>
    <row r="615" customFormat="false" ht="15" hidden="false" customHeight="false" outlineLevel="0" collapsed="false">
      <c r="A615" s="2" t="s">
        <v>1794</v>
      </c>
      <c r="B615" s="2" t="s">
        <v>961</v>
      </c>
      <c r="C615" s="4" t="n">
        <v>46234</v>
      </c>
      <c r="D615" s="2" t="s">
        <v>1161</v>
      </c>
      <c r="E615" s="2" t="s">
        <v>1162</v>
      </c>
      <c r="F615" s="2"/>
      <c r="G615" s="4"/>
      <c r="H615" s="2" t="str">
        <f aca="false">IF(C615&gt;CRM_Dashboard!$B$3,"Future-dated",IF(AND(B615=B614,C615&lt;C614),"Date out of sequence",IF(AND(G615&lt;&gt;"",G615&lt;=C615),"Follow-up not after interaction","")))</f>
        <v/>
      </c>
    </row>
    <row r="616" customFormat="false" ht="15" hidden="false" customHeight="false" outlineLevel="0" collapsed="false">
      <c r="A616" s="2" t="s">
        <v>1795</v>
      </c>
      <c r="B616" s="2" t="s">
        <v>961</v>
      </c>
      <c r="C616" s="4" t="n">
        <v>46236</v>
      </c>
      <c r="D616" s="2" t="s">
        <v>1161</v>
      </c>
      <c r="E616" s="2" t="s">
        <v>1167</v>
      </c>
      <c r="F616" s="2" t="s">
        <v>1168</v>
      </c>
      <c r="G616" s="4" t="n">
        <v>46234</v>
      </c>
      <c r="H616" s="2" t="str">
        <f aca="false">IF(C616&gt;CRM_Dashboard!$B$3,"Future-dated",IF(AND(B616=B615,C616&lt;C615),"Date out of sequence",IF(AND(G616&lt;&gt;"",G616&lt;=C616),"Follow-up not after interaction","")))</f>
        <v>Follow-up not after interaction</v>
      </c>
    </row>
    <row r="617" customFormat="false" ht="15" hidden="false" customHeight="false" outlineLevel="0" collapsed="false">
      <c r="A617" s="2" t="s">
        <v>1796</v>
      </c>
      <c r="B617" s="2" t="s">
        <v>965</v>
      </c>
      <c r="C617" s="4" t="n">
        <v>46247</v>
      </c>
      <c r="D617" s="2" t="s">
        <v>1161</v>
      </c>
      <c r="E617" s="2" t="s">
        <v>1185</v>
      </c>
      <c r="F617" s="2"/>
      <c r="G617" s="4"/>
      <c r="H617" s="2" t="str">
        <f aca="false">IF(C617&gt;CRM_Dashboard!$B$3,"Future-dated",IF(AND(B617=B616,C617&lt;C616),"Date out of sequence",IF(AND(G617&lt;&gt;"",G617&lt;=C617),"Follow-up not after interaction","")))</f>
        <v/>
      </c>
    </row>
    <row r="618" customFormat="false" ht="15" hidden="false" customHeight="false" outlineLevel="0" collapsed="false">
      <c r="A618" s="2" t="s">
        <v>1797</v>
      </c>
      <c r="B618" s="2" t="s">
        <v>965</v>
      </c>
      <c r="C618" s="4" t="n">
        <v>46245</v>
      </c>
      <c r="D618" s="2" t="s">
        <v>1161</v>
      </c>
      <c r="E618" s="2" t="s">
        <v>1162</v>
      </c>
      <c r="F618" s="2"/>
      <c r="G618" s="4"/>
      <c r="H618" s="2" t="str">
        <f aca="false">IF(C618&gt;CRM_Dashboard!$B$3,"Future-dated",IF(AND(B618=B617,C618&lt;C617),"Date out of sequence",IF(AND(G618&lt;&gt;"",G618&lt;=C618),"Follow-up not after interaction","")))</f>
        <v>Date out of sequence</v>
      </c>
    </row>
    <row r="619" customFormat="false" ht="15" hidden="false" customHeight="false" outlineLevel="0" collapsed="false">
      <c r="A619" s="2" t="s">
        <v>1798</v>
      </c>
      <c r="B619" s="2" t="s">
        <v>965</v>
      </c>
      <c r="C619" s="4" t="n">
        <v>46245</v>
      </c>
      <c r="D619" s="2" t="s">
        <v>1161</v>
      </c>
      <c r="E619" s="2" t="s">
        <v>1188</v>
      </c>
      <c r="F619" s="2" t="s">
        <v>1195</v>
      </c>
      <c r="G619" s="4"/>
      <c r="H619" s="2" t="str">
        <f aca="false">IF(C619&gt;CRM_Dashboard!$B$3,"Future-dated",IF(AND(B619=B618,C619&lt;C618),"Date out of sequence",IF(AND(G619&lt;&gt;"",G619&lt;=C619),"Follow-up not after interaction","")))</f>
        <v/>
      </c>
    </row>
    <row r="620" customFormat="false" ht="15" hidden="false" customHeight="false" outlineLevel="0" collapsed="false">
      <c r="A620" s="2" t="s">
        <v>1799</v>
      </c>
      <c r="B620" s="2" t="s">
        <v>969</v>
      </c>
      <c r="C620" s="4" t="n">
        <v>46208</v>
      </c>
      <c r="D620" s="2" t="s">
        <v>1161</v>
      </c>
      <c r="E620" s="2" t="s">
        <v>1162</v>
      </c>
      <c r="F620" s="2" t="s">
        <v>1177</v>
      </c>
      <c r="G620" s="4"/>
      <c r="H620" s="2" t="str">
        <f aca="false">IF(C620&gt;CRM_Dashboard!$B$3,"Future-dated",IF(AND(B620=B619,C620&lt;C619),"Date out of sequence",IF(AND(G620&lt;&gt;"",G620&lt;=C620),"Follow-up not after interaction","")))</f>
        <v/>
      </c>
    </row>
    <row r="621" customFormat="false" ht="15" hidden="false" customHeight="false" outlineLevel="0" collapsed="false">
      <c r="A621" s="2" t="s">
        <v>1800</v>
      </c>
      <c r="B621" s="2" t="s">
        <v>972</v>
      </c>
      <c r="C621" s="4" t="n">
        <v>46248</v>
      </c>
      <c r="D621" s="2" t="s">
        <v>1161</v>
      </c>
      <c r="E621" s="2" t="s">
        <v>1185</v>
      </c>
      <c r="F621" s="2"/>
      <c r="G621" s="4"/>
      <c r="H621" s="2" t="str">
        <f aca="false">IF(C621&gt;CRM_Dashboard!$B$3,"Future-dated",IF(AND(B621=B620,C621&lt;C620),"Date out of sequence",IF(AND(G621&lt;&gt;"",G621&lt;=C621),"Follow-up not after interaction","")))</f>
        <v/>
      </c>
    </row>
    <row r="622" customFormat="false" ht="15" hidden="false" customHeight="false" outlineLevel="0" collapsed="false">
      <c r="A622" s="2" t="s">
        <v>1801</v>
      </c>
      <c r="B622" s="2" t="s">
        <v>972</v>
      </c>
      <c r="C622" s="4" t="n">
        <v>46251</v>
      </c>
      <c r="D622" s="2" t="s">
        <v>1161</v>
      </c>
      <c r="E622" s="2" t="s">
        <v>1252</v>
      </c>
      <c r="F622" s="2" t="s">
        <v>1183</v>
      </c>
      <c r="G622" s="4"/>
      <c r="H622" s="2" t="str">
        <f aca="false">IF(C622&gt;CRM_Dashboard!$B$3,"Future-dated",IF(AND(B622=B621,C622&lt;C621),"Date out of sequence",IF(AND(G622&lt;&gt;"",G622&lt;=C622),"Follow-up not after interaction","")))</f>
        <v/>
      </c>
    </row>
    <row r="623" customFormat="false" ht="15" hidden="false" customHeight="false" outlineLevel="0" collapsed="false">
      <c r="A623" s="2" t="s">
        <v>1802</v>
      </c>
      <c r="B623" s="2" t="s">
        <v>976</v>
      </c>
      <c r="C623" s="4" t="n">
        <v>46292</v>
      </c>
      <c r="D623" s="2" t="s">
        <v>1161</v>
      </c>
      <c r="E623" s="2" t="s">
        <v>1167</v>
      </c>
      <c r="F623" s="2"/>
      <c r="G623" s="4"/>
      <c r="H623" s="2" t="str">
        <f aca="false">IF(C623&gt;CRM_Dashboard!$B$3,"Future-dated",IF(AND(B623=B622,C623&lt;C622),"Date out of sequence",IF(AND(G623&lt;&gt;"",G623&lt;=C623),"Follow-up not after interaction","")))</f>
        <v/>
      </c>
    </row>
    <row r="624" customFormat="false" ht="15" hidden="false" customHeight="false" outlineLevel="0" collapsed="false">
      <c r="A624" s="2" t="s">
        <v>1803</v>
      </c>
      <c r="B624" s="2" t="s">
        <v>976</v>
      </c>
      <c r="C624" s="4" t="n">
        <v>46293</v>
      </c>
      <c r="D624" s="2" t="s">
        <v>1161</v>
      </c>
      <c r="E624" s="2" t="s">
        <v>1173</v>
      </c>
      <c r="F624" s="2"/>
      <c r="G624" s="4"/>
      <c r="H624" s="2" t="str">
        <f aca="false">IF(C624&gt;CRM_Dashboard!$B$3,"Future-dated",IF(AND(B624=B623,C624&lt;C623),"Date out of sequence",IF(AND(G624&lt;&gt;"",G624&lt;=C624),"Follow-up not after interaction","")))</f>
        <v/>
      </c>
    </row>
    <row r="625" customFormat="false" ht="15" hidden="false" customHeight="false" outlineLevel="0" collapsed="false">
      <c r="A625" s="2" t="s">
        <v>1804</v>
      </c>
      <c r="B625" s="2" t="s">
        <v>976</v>
      </c>
      <c r="C625" s="4" t="n">
        <v>46294</v>
      </c>
      <c r="D625" s="2" t="s">
        <v>1161</v>
      </c>
      <c r="E625" s="2" t="s">
        <v>1173</v>
      </c>
      <c r="F625" s="2"/>
      <c r="G625" s="4"/>
      <c r="H625" s="2" t="str">
        <f aca="false">IF(C625&gt;CRM_Dashboard!$B$3,"Future-dated",IF(AND(B625=B624,C625&lt;C624),"Date out of sequence",IF(AND(G625&lt;&gt;"",G625&lt;=C625),"Follow-up not after interaction","")))</f>
        <v/>
      </c>
    </row>
    <row r="626" customFormat="false" ht="15" hidden="false" customHeight="false" outlineLevel="0" collapsed="false">
      <c r="A626" s="2" t="s">
        <v>1805</v>
      </c>
      <c r="B626" s="2" t="s">
        <v>976</v>
      </c>
      <c r="C626" s="4" t="n">
        <v>46290</v>
      </c>
      <c r="D626" s="2" t="s">
        <v>1161</v>
      </c>
      <c r="E626" s="2" t="s">
        <v>1171</v>
      </c>
      <c r="F626" s="2" t="s">
        <v>1183</v>
      </c>
      <c r="G626" s="4"/>
      <c r="H626" s="2" t="str">
        <f aca="false">IF(C626&gt;CRM_Dashboard!$B$3,"Future-dated",IF(AND(B626=B625,C626&lt;C625),"Date out of sequence",IF(AND(G626&lt;&gt;"",G626&lt;=C626),"Follow-up not after interaction","")))</f>
        <v>Date out of sequence</v>
      </c>
    </row>
    <row r="627" customFormat="false" ht="15" hidden="false" customHeight="false" outlineLevel="0" collapsed="false">
      <c r="A627" s="2" t="s">
        <v>1806</v>
      </c>
      <c r="B627" s="2" t="s">
        <v>979</v>
      </c>
      <c r="C627" s="4" t="n">
        <v>46283</v>
      </c>
      <c r="D627" s="2" t="s">
        <v>1161</v>
      </c>
      <c r="E627" s="2" t="s">
        <v>1173</v>
      </c>
      <c r="F627" s="2"/>
      <c r="G627" s="4"/>
      <c r="H627" s="2" t="str">
        <f aca="false">IF(C627&gt;CRM_Dashboard!$B$3,"Future-dated",IF(AND(B627=B626,C627&lt;C626),"Date out of sequence",IF(AND(G627&lt;&gt;"",G627&lt;=C627),"Follow-up not after interaction","")))</f>
        <v/>
      </c>
    </row>
    <row r="628" customFormat="false" ht="15" hidden="false" customHeight="false" outlineLevel="0" collapsed="false">
      <c r="A628" s="2" t="s">
        <v>1807</v>
      </c>
      <c r="B628" s="2" t="s">
        <v>979</v>
      </c>
      <c r="C628" s="4" t="n">
        <v>46279</v>
      </c>
      <c r="D628" s="2" t="s">
        <v>1161</v>
      </c>
      <c r="E628" s="2" t="s">
        <v>1188</v>
      </c>
      <c r="F628" s="2" t="s">
        <v>1209</v>
      </c>
      <c r="G628" s="4"/>
      <c r="H628" s="2" t="str">
        <f aca="false">IF(C628&gt;CRM_Dashboard!$B$3,"Future-dated",IF(AND(B628=B627,C628&lt;C627),"Date out of sequence",IF(AND(G628&lt;&gt;"",G628&lt;=C628),"Follow-up not after interaction","")))</f>
        <v>Date out of sequence</v>
      </c>
    </row>
    <row r="629" customFormat="false" ht="15" hidden="false" customHeight="false" outlineLevel="0" collapsed="false">
      <c r="A629" s="2" t="s">
        <v>1808</v>
      </c>
      <c r="B629" s="2" t="s">
        <v>983</v>
      </c>
      <c r="C629" s="4" t="n">
        <v>46245</v>
      </c>
      <c r="D629" s="2" t="s">
        <v>1161</v>
      </c>
      <c r="E629" s="2" t="s">
        <v>1167</v>
      </c>
      <c r="F629" s="2"/>
      <c r="G629" s="4"/>
      <c r="H629" s="2" t="str">
        <f aca="false">IF(C629&gt;CRM_Dashboard!$B$3,"Future-dated",IF(AND(B629=B628,C629&lt;C628),"Date out of sequence",IF(AND(G629&lt;&gt;"",G629&lt;=C629),"Follow-up not after interaction","")))</f>
        <v/>
      </c>
    </row>
    <row r="630" customFormat="false" ht="15" hidden="false" customHeight="false" outlineLevel="0" collapsed="false">
      <c r="A630" s="2" t="s">
        <v>1809</v>
      </c>
      <c r="B630" s="2" t="s">
        <v>983</v>
      </c>
      <c r="C630" s="4" t="n">
        <v>46247</v>
      </c>
      <c r="D630" s="2" t="s">
        <v>1161</v>
      </c>
      <c r="E630" s="2" t="s">
        <v>1162</v>
      </c>
      <c r="F630" s="2" t="s">
        <v>1168</v>
      </c>
      <c r="G630" s="4"/>
      <c r="H630" s="2" t="str">
        <f aca="false">IF(C630&gt;CRM_Dashboard!$B$3,"Future-dated",IF(AND(B630=B629,C630&lt;C629),"Date out of sequence",IF(AND(G630&lt;&gt;"",G630&lt;=C630),"Follow-up not after interaction","")))</f>
        <v/>
      </c>
    </row>
    <row r="631" customFormat="false" ht="15" hidden="false" customHeight="false" outlineLevel="0" collapsed="false">
      <c r="A631" s="2" t="s">
        <v>1810</v>
      </c>
      <c r="B631" s="2" t="s">
        <v>987</v>
      </c>
      <c r="C631" s="4" t="n">
        <v>46219</v>
      </c>
      <c r="D631" s="2" t="s">
        <v>1161</v>
      </c>
      <c r="E631" s="2" t="s">
        <v>1176</v>
      </c>
      <c r="F631" s="2"/>
      <c r="G631" s="4"/>
      <c r="H631" s="2" t="str">
        <f aca="false">IF(C631&gt;CRM_Dashboard!$B$3,"Future-dated",IF(AND(B631=B630,C631&lt;C630),"Date out of sequence",IF(AND(G631&lt;&gt;"",G631&lt;=C631),"Follow-up not after interaction","")))</f>
        <v/>
      </c>
    </row>
    <row r="632" customFormat="false" ht="15" hidden="false" customHeight="false" outlineLevel="0" collapsed="false">
      <c r="A632" s="2" t="s">
        <v>1811</v>
      </c>
      <c r="B632" s="2" t="s">
        <v>987</v>
      </c>
      <c r="C632" s="4" t="n">
        <v>46219</v>
      </c>
      <c r="D632" s="2" t="s">
        <v>1161</v>
      </c>
      <c r="E632" s="2" t="s">
        <v>1162</v>
      </c>
      <c r="F632" s="2"/>
      <c r="G632" s="4"/>
      <c r="H632" s="2" t="str">
        <f aca="false">IF(C632&gt;CRM_Dashboard!$B$3,"Future-dated",IF(AND(B632=B631,C632&lt;C631),"Date out of sequence",IF(AND(G632&lt;&gt;"",G632&lt;=C632),"Follow-up not after interaction","")))</f>
        <v/>
      </c>
    </row>
    <row r="633" customFormat="false" ht="15" hidden="false" customHeight="false" outlineLevel="0" collapsed="false">
      <c r="A633" s="2" t="s">
        <v>1812</v>
      </c>
      <c r="B633" s="2" t="s">
        <v>987</v>
      </c>
      <c r="C633" s="4" t="n">
        <v>46215</v>
      </c>
      <c r="D633" s="2" t="s">
        <v>1161</v>
      </c>
      <c r="E633" s="2" t="s">
        <v>1162</v>
      </c>
      <c r="F633" s="2" t="s">
        <v>1174</v>
      </c>
      <c r="G633" s="4"/>
      <c r="H633" s="2" t="str">
        <f aca="false">IF(C633&gt;CRM_Dashboard!$B$3,"Future-dated",IF(AND(B633=B632,C633&lt;C632),"Date out of sequence",IF(AND(G633&lt;&gt;"",G633&lt;=C633),"Follow-up not after interaction","")))</f>
        <v>Date out of sequence</v>
      </c>
    </row>
    <row r="634" customFormat="false" ht="15" hidden="false" customHeight="false" outlineLevel="0" collapsed="false">
      <c r="A634" s="2" t="s">
        <v>1813</v>
      </c>
      <c r="B634" s="2" t="s">
        <v>990</v>
      </c>
      <c r="C634" s="4" t="n">
        <v>46229</v>
      </c>
      <c r="D634" s="2" t="s">
        <v>1161</v>
      </c>
      <c r="E634" s="2" t="s">
        <v>1176</v>
      </c>
      <c r="F634" s="2"/>
      <c r="G634" s="4"/>
      <c r="H634" s="2" t="str">
        <f aca="false">IF(C634&gt;CRM_Dashboard!$B$3,"Future-dated",IF(AND(B634=B633,C634&lt;C633),"Date out of sequence",IF(AND(G634&lt;&gt;"",G634&lt;=C634),"Follow-up not after interaction","")))</f>
        <v/>
      </c>
    </row>
    <row r="635" customFormat="false" ht="15" hidden="false" customHeight="false" outlineLevel="0" collapsed="false">
      <c r="A635" s="2" t="s">
        <v>1814</v>
      </c>
      <c r="B635" s="2" t="s">
        <v>990</v>
      </c>
      <c r="C635" s="4" t="n">
        <v>46229</v>
      </c>
      <c r="D635" s="2" t="s">
        <v>1161</v>
      </c>
      <c r="E635" s="2" t="s">
        <v>1173</v>
      </c>
      <c r="F635" s="2"/>
      <c r="G635" s="4"/>
      <c r="H635" s="2" t="str">
        <f aca="false">IF(C635&gt;CRM_Dashboard!$B$3,"Future-dated",IF(AND(B635=B634,C635&lt;C634),"Date out of sequence",IF(AND(G635&lt;&gt;"",G635&lt;=C635),"Follow-up not after interaction","")))</f>
        <v/>
      </c>
    </row>
    <row r="636" customFormat="false" ht="15" hidden="false" customHeight="false" outlineLevel="0" collapsed="false">
      <c r="A636" s="2" t="s">
        <v>1815</v>
      </c>
      <c r="B636" s="2" t="s">
        <v>990</v>
      </c>
      <c r="C636" s="4" t="n">
        <v>46226</v>
      </c>
      <c r="D636" s="2" t="s">
        <v>1161</v>
      </c>
      <c r="E636" s="2" t="s">
        <v>1176</v>
      </c>
      <c r="F636" s="2"/>
      <c r="G636" s="4"/>
      <c r="H636" s="2" t="str">
        <f aca="false">IF(C636&gt;CRM_Dashboard!$B$3,"Future-dated",IF(AND(B636=B635,C636&lt;C635),"Date out of sequence",IF(AND(G636&lt;&gt;"",G636&lt;=C636),"Follow-up not after interaction","")))</f>
        <v>Date out of sequence</v>
      </c>
    </row>
    <row r="637" customFormat="false" ht="15" hidden="false" customHeight="false" outlineLevel="0" collapsed="false">
      <c r="A637" s="2" t="s">
        <v>1816</v>
      </c>
      <c r="B637" s="2" t="s">
        <v>990</v>
      </c>
      <c r="C637" s="4" t="n">
        <v>46226</v>
      </c>
      <c r="D637" s="2" t="s">
        <v>1161</v>
      </c>
      <c r="E637" s="2" t="s">
        <v>1162</v>
      </c>
      <c r="F637" s="2" t="s">
        <v>1165</v>
      </c>
      <c r="G637" s="4"/>
      <c r="H637" s="2" t="str">
        <f aca="false">IF(C637&gt;CRM_Dashboard!$B$3,"Future-dated",IF(AND(B637=B636,C637&lt;C636),"Date out of sequence",IF(AND(G637&lt;&gt;"",G637&lt;=C637),"Follow-up not after interaction","")))</f>
        <v/>
      </c>
    </row>
    <row r="638" customFormat="false" ht="15" hidden="false" customHeight="false" outlineLevel="0" collapsed="false">
      <c r="A638" s="2" t="s">
        <v>1817</v>
      </c>
      <c r="B638" s="2" t="s">
        <v>994</v>
      </c>
      <c r="C638" s="4" t="n">
        <v>46211</v>
      </c>
      <c r="D638" s="2" t="s">
        <v>1161</v>
      </c>
      <c r="E638" s="2" t="s">
        <v>1162</v>
      </c>
      <c r="F638" s="2"/>
      <c r="G638" s="4"/>
      <c r="H638" s="2" t="str">
        <f aca="false">IF(C638&gt;CRM_Dashboard!$B$3,"Future-dated",IF(AND(B638=B637,C638&lt;C637),"Date out of sequence",IF(AND(G638&lt;&gt;"",G638&lt;=C638),"Follow-up not after interaction","")))</f>
        <v/>
      </c>
    </row>
    <row r="639" customFormat="false" ht="15" hidden="false" customHeight="false" outlineLevel="0" collapsed="false">
      <c r="A639" s="2" t="s">
        <v>1818</v>
      </c>
      <c r="B639" s="2" t="s">
        <v>994</v>
      </c>
      <c r="C639" s="4" t="n">
        <v>46213</v>
      </c>
      <c r="D639" s="2" t="s">
        <v>1161</v>
      </c>
      <c r="E639" s="2" t="s">
        <v>1162</v>
      </c>
      <c r="F639" s="2"/>
      <c r="G639" s="4"/>
      <c r="H639" s="2" t="str">
        <f aca="false">IF(C639&gt;CRM_Dashboard!$B$3,"Future-dated",IF(AND(B639=B638,C639&lt;C638),"Date out of sequence",IF(AND(G639&lt;&gt;"",G639&lt;=C639),"Follow-up not after interaction","")))</f>
        <v/>
      </c>
    </row>
    <row r="640" customFormat="false" ht="15" hidden="false" customHeight="false" outlineLevel="0" collapsed="false">
      <c r="A640" s="2" t="s">
        <v>1819</v>
      </c>
      <c r="B640" s="2" t="s">
        <v>994</v>
      </c>
      <c r="C640" s="4" t="n">
        <v>46210</v>
      </c>
      <c r="D640" s="2" t="s">
        <v>1161</v>
      </c>
      <c r="E640" s="2" t="s">
        <v>1162</v>
      </c>
      <c r="F640" s="2" t="s">
        <v>1183</v>
      </c>
      <c r="G640" s="4"/>
      <c r="H640" s="2" t="str">
        <f aca="false">IF(C640&gt;CRM_Dashboard!$B$3,"Future-dated",IF(AND(B640=B639,C640&lt;C639),"Date out of sequence",IF(AND(G640&lt;&gt;"",G640&lt;=C640),"Follow-up not after interaction","")))</f>
        <v>Date out of sequence</v>
      </c>
    </row>
    <row r="641" customFormat="false" ht="15" hidden="false" customHeight="false" outlineLevel="0" collapsed="false">
      <c r="A641" s="2" t="s">
        <v>1820</v>
      </c>
      <c r="B641" s="2" t="s">
        <v>998</v>
      </c>
      <c r="C641" s="4" t="n">
        <v>46269</v>
      </c>
      <c r="D641" s="2" t="s">
        <v>1161</v>
      </c>
      <c r="E641" s="2" t="s">
        <v>1176</v>
      </c>
      <c r="F641" s="2" t="s">
        <v>1177</v>
      </c>
      <c r="G641" s="4" t="n">
        <v>46275</v>
      </c>
      <c r="H641" s="2" t="str">
        <f aca="false">IF(C641&gt;CRM_Dashboard!$B$3,"Future-dated",IF(AND(B641=B640,C641&lt;C640),"Date out of sequence",IF(AND(G641&lt;&gt;"",G641&lt;=C641),"Follow-up not after interaction","")))</f>
        <v/>
      </c>
    </row>
    <row r="642" customFormat="false" ht="15" hidden="false" customHeight="false" outlineLevel="0" collapsed="false">
      <c r="A642" s="2" t="s">
        <v>1821</v>
      </c>
      <c r="B642" s="2" t="s">
        <v>1001</v>
      </c>
      <c r="C642" s="4" t="n">
        <v>46278</v>
      </c>
      <c r="D642" s="2" t="s">
        <v>1161</v>
      </c>
      <c r="E642" s="2" t="s">
        <v>1167</v>
      </c>
      <c r="F642" s="2"/>
      <c r="G642" s="4"/>
      <c r="H642" s="2" t="str">
        <f aca="false">IF(C642&gt;CRM_Dashboard!$B$3,"Future-dated",IF(AND(B642=B641,C642&lt;C641),"Date out of sequence",IF(AND(G642&lt;&gt;"",G642&lt;=C642),"Follow-up not after interaction","")))</f>
        <v/>
      </c>
    </row>
    <row r="643" customFormat="false" ht="15" hidden="false" customHeight="false" outlineLevel="0" collapsed="false">
      <c r="A643" s="2" t="s">
        <v>1822</v>
      </c>
      <c r="B643" s="2" t="s">
        <v>1001</v>
      </c>
      <c r="C643" s="4" t="n">
        <v>46280</v>
      </c>
      <c r="D643" s="2" t="s">
        <v>1161</v>
      </c>
      <c r="E643" s="2" t="s">
        <v>1173</v>
      </c>
      <c r="F643" s="2"/>
      <c r="G643" s="4"/>
      <c r="H643" s="2" t="str">
        <f aca="false">IF(C643&gt;CRM_Dashboard!$B$3,"Future-dated",IF(AND(B643=B642,C643&lt;C642),"Date out of sequence",IF(AND(G643&lt;&gt;"",G643&lt;=C643),"Follow-up not after interaction","")))</f>
        <v/>
      </c>
    </row>
    <row r="644" customFormat="false" ht="15" hidden="false" customHeight="false" outlineLevel="0" collapsed="false">
      <c r="A644" s="2" t="s">
        <v>1823</v>
      </c>
      <c r="B644" s="2" t="s">
        <v>1001</v>
      </c>
      <c r="C644" s="4" t="n">
        <v>46274</v>
      </c>
      <c r="D644" s="2" t="s">
        <v>1161</v>
      </c>
      <c r="E644" s="2" t="s">
        <v>1162</v>
      </c>
      <c r="F644" s="2" t="s">
        <v>1203</v>
      </c>
      <c r="G644" s="4"/>
      <c r="H644" s="2" t="str">
        <f aca="false">IF(C644&gt;CRM_Dashboard!$B$3,"Future-dated",IF(AND(B644=B643,C644&lt;C643),"Date out of sequence",IF(AND(G644&lt;&gt;"",G644&lt;=C644),"Follow-up not after interaction","")))</f>
        <v>Date out of sequence</v>
      </c>
    </row>
    <row r="645" customFormat="false" ht="15" hidden="false" customHeight="false" outlineLevel="0" collapsed="false">
      <c r="A645" s="2" t="s">
        <v>1824</v>
      </c>
      <c r="B645" s="2" t="s">
        <v>1004</v>
      </c>
      <c r="C645" s="4" t="n">
        <v>46291</v>
      </c>
      <c r="D645" s="2" t="s">
        <v>1161</v>
      </c>
      <c r="E645" s="2" t="s">
        <v>1162</v>
      </c>
      <c r="F645" s="2"/>
      <c r="G645" s="4"/>
      <c r="H645" s="2" t="str">
        <f aca="false">IF(C645&gt;CRM_Dashboard!$B$3,"Future-dated",IF(AND(B645=B644,C645&lt;C644),"Date out of sequence",IF(AND(G645&lt;&gt;"",G645&lt;=C645),"Follow-up not after interaction","")))</f>
        <v/>
      </c>
    </row>
    <row r="646" customFormat="false" ht="15" hidden="false" customHeight="false" outlineLevel="0" collapsed="false">
      <c r="A646" s="2" t="s">
        <v>1825</v>
      </c>
      <c r="B646" s="2" t="s">
        <v>1004</v>
      </c>
      <c r="C646" s="4" t="n">
        <v>46292</v>
      </c>
      <c r="D646" s="2" t="s">
        <v>1161</v>
      </c>
      <c r="E646" s="2" t="s">
        <v>1162</v>
      </c>
      <c r="F646" s="2"/>
      <c r="G646" s="4"/>
      <c r="H646" s="2" t="str">
        <f aca="false">IF(C646&gt;CRM_Dashboard!$B$3,"Future-dated",IF(AND(B646=B645,C646&lt;C645),"Date out of sequence",IF(AND(G646&lt;&gt;"",G646&lt;=C646),"Follow-up not after interaction","")))</f>
        <v/>
      </c>
    </row>
    <row r="647" customFormat="false" ht="15" hidden="false" customHeight="false" outlineLevel="0" collapsed="false">
      <c r="A647" s="2" t="s">
        <v>1826</v>
      </c>
      <c r="B647" s="2" t="s">
        <v>1004</v>
      </c>
      <c r="C647" s="4" t="n">
        <v>46294</v>
      </c>
      <c r="D647" s="2" t="s">
        <v>1161</v>
      </c>
      <c r="E647" s="2" t="s">
        <v>1162</v>
      </c>
      <c r="F647" s="2"/>
      <c r="G647" s="4"/>
      <c r="H647" s="2" t="str">
        <f aca="false">IF(C647&gt;CRM_Dashboard!$B$3,"Future-dated",IF(AND(B647=B646,C647&lt;C646),"Date out of sequence",IF(AND(G647&lt;&gt;"",G647&lt;=C647),"Follow-up not after interaction","")))</f>
        <v/>
      </c>
    </row>
    <row r="648" customFormat="false" ht="15" hidden="false" customHeight="false" outlineLevel="0" collapsed="false">
      <c r="A648" s="2" t="s">
        <v>1827</v>
      </c>
      <c r="B648" s="2" t="s">
        <v>1004</v>
      </c>
      <c r="C648" s="4" t="n">
        <v>46293</v>
      </c>
      <c r="D648" s="2" t="s">
        <v>1161</v>
      </c>
      <c r="E648" s="2" t="s">
        <v>1173</v>
      </c>
      <c r="F648" s="2" t="s">
        <v>1165</v>
      </c>
      <c r="G648" s="4" t="n">
        <v>46290</v>
      </c>
      <c r="H648" s="2" t="str">
        <f aca="false">IF(C648&gt;CRM_Dashboard!$B$3,"Future-dated",IF(AND(B648=B647,C648&lt;C647),"Date out of sequence",IF(AND(G648&lt;&gt;"",G648&lt;=C648),"Follow-up not after interaction","")))</f>
        <v>Date out of sequence</v>
      </c>
    </row>
    <row r="649" customFormat="false" ht="15" hidden="false" customHeight="false" outlineLevel="0" collapsed="false">
      <c r="A649" s="2" t="s">
        <v>1828</v>
      </c>
      <c r="B649" s="2" t="s">
        <v>1007</v>
      </c>
      <c r="C649" s="4" t="n">
        <v>46253</v>
      </c>
      <c r="D649" s="2" t="s">
        <v>1161</v>
      </c>
      <c r="E649" s="2" t="s">
        <v>1173</v>
      </c>
      <c r="F649" s="2"/>
      <c r="G649" s="4"/>
      <c r="H649" s="2" t="str">
        <f aca="false">IF(C649&gt;CRM_Dashboard!$B$3,"Future-dated",IF(AND(B649=B648,C649&lt;C648),"Date out of sequence",IF(AND(G649&lt;&gt;"",G649&lt;=C649),"Follow-up not after interaction","")))</f>
        <v/>
      </c>
    </row>
    <row r="650" customFormat="false" ht="15" hidden="false" customHeight="false" outlineLevel="0" collapsed="false">
      <c r="A650" s="2" t="s">
        <v>1829</v>
      </c>
      <c r="B650" s="2" t="s">
        <v>1007</v>
      </c>
      <c r="C650" s="4" t="n">
        <v>46258</v>
      </c>
      <c r="D650" s="2" t="s">
        <v>1161</v>
      </c>
      <c r="E650" s="2" t="s">
        <v>1176</v>
      </c>
      <c r="F650" s="2" t="s">
        <v>1209</v>
      </c>
      <c r="G650" s="4" t="n">
        <v>46254</v>
      </c>
      <c r="H650" s="2" t="str">
        <f aca="false">IF(C650&gt;CRM_Dashboard!$B$3,"Future-dated",IF(AND(B650=B649,C650&lt;C649),"Date out of sequence",IF(AND(G650&lt;&gt;"",G650&lt;=C650),"Follow-up not after interaction","")))</f>
        <v>Follow-up not after interaction</v>
      </c>
    </row>
    <row r="651" customFormat="false" ht="15" hidden="false" customHeight="false" outlineLevel="0" collapsed="false">
      <c r="A651" s="2" t="s">
        <v>1830</v>
      </c>
      <c r="B651" s="2" t="s">
        <v>1010</v>
      </c>
      <c r="C651" s="4" t="n">
        <v>46297</v>
      </c>
      <c r="D651" s="2" t="s">
        <v>1161</v>
      </c>
      <c r="E651" s="2" t="s">
        <v>1162</v>
      </c>
      <c r="F651" s="2" t="s">
        <v>1203</v>
      </c>
      <c r="G651" s="4"/>
      <c r="H651" s="2" t="str">
        <f aca="false">IF(C651&gt;CRM_Dashboard!$B$3,"Future-dated",IF(AND(B651=B650,C651&lt;C650),"Date out of sequence",IF(AND(G651&lt;&gt;"",G651&lt;=C651),"Follow-up not after interaction","")))</f>
        <v>Future-dated</v>
      </c>
    </row>
    <row r="652" customFormat="false" ht="15" hidden="false" customHeight="false" outlineLevel="0" collapsed="false">
      <c r="A652" s="2" t="s">
        <v>1831</v>
      </c>
      <c r="B652" s="2" t="s">
        <v>1014</v>
      </c>
      <c r="C652" s="4" t="n">
        <v>46260</v>
      </c>
      <c r="D652" s="2" t="s">
        <v>1161</v>
      </c>
      <c r="E652" s="2" t="s">
        <v>1167</v>
      </c>
      <c r="F652" s="2"/>
      <c r="G652" s="4"/>
      <c r="H652" s="2" t="str">
        <f aca="false">IF(C652&gt;CRM_Dashboard!$B$3,"Future-dated",IF(AND(B652=B651,C652&lt;C651),"Date out of sequence",IF(AND(G652&lt;&gt;"",G652&lt;=C652),"Follow-up not after interaction","")))</f>
        <v/>
      </c>
    </row>
    <row r="653" customFormat="false" ht="15" hidden="false" customHeight="false" outlineLevel="0" collapsed="false">
      <c r="A653" s="2" t="s">
        <v>1832</v>
      </c>
      <c r="B653" s="2" t="s">
        <v>1014</v>
      </c>
      <c r="C653" s="4" t="n">
        <v>46258</v>
      </c>
      <c r="D653" s="2" t="s">
        <v>1161</v>
      </c>
      <c r="E653" s="2" t="s">
        <v>1162</v>
      </c>
      <c r="F653" s="2"/>
      <c r="G653" s="4"/>
      <c r="H653" s="2" t="str">
        <f aca="false">IF(C653&gt;CRM_Dashboard!$B$3,"Future-dated",IF(AND(B653=B652,C653&lt;C652),"Date out of sequence",IF(AND(G653&lt;&gt;"",G653&lt;=C653),"Follow-up not after interaction","")))</f>
        <v>Date out of sequence</v>
      </c>
    </row>
    <row r="654" customFormat="false" ht="15" hidden="false" customHeight="false" outlineLevel="0" collapsed="false">
      <c r="A654" s="2" t="s">
        <v>1833</v>
      </c>
      <c r="B654" s="2" t="s">
        <v>1014</v>
      </c>
      <c r="C654" s="4" t="n">
        <v>46264</v>
      </c>
      <c r="D654" s="2" t="s">
        <v>1161</v>
      </c>
      <c r="E654" s="2" t="s">
        <v>1173</v>
      </c>
      <c r="F654" s="2"/>
      <c r="G654" s="4"/>
      <c r="H654" s="2" t="str">
        <f aca="false">IF(C654&gt;CRM_Dashboard!$B$3,"Future-dated",IF(AND(B654=B653,C654&lt;C653),"Date out of sequence",IF(AND(G654&lt;&gt;"",G654&lt;=C654),"Follow-up not after interaction","")))</f>
        <v/>
      </c>
    </row>
    <row r="655" customFormat="false" ht="15" hidden="false" customHeight="false" outlineLevel="0" collapsed="false">
      <c r="A655" s="2" t="s">
        <v>1834</v>
      </c>
      <c r="B655" s="2" t="s">
        <v>1014</v>
      </c>
      <c r="C655" s="4" t="n">
        <v>46263</v>
      </c>
      <c r="D655" s="2" t="s">
        <v>1161</v>
      </c>
      <c r="E655" s="2" t="s">
        <v>1176</v>
      </c>
      <c r="F655" s="2" t="s">
        <v>1168</v>
      </c>
      <c r="G655" s="4" t="n">
        <v>46258</v>
      </c>
      <c r="H655" s="2" t="str">
        <f aca="false">IF(C655&gt;CRM_Dashboard!$B$3,"Future-dated",IF(AND(B655=B654,C655&lt;C654),"Date out of sequence",IF(AND(G655&lt;&gt;"",G655&lt;=C655),"Follow-up not after interaction","")))</f>
        <v>Date out of sequence</v>
      </c>
    </row>
    <row r="656" customFormat="false" ht="15" hidden="false" customHeight="false" outlineLevel="0" collapsed="false">
      <c r="A656" s="2" t="s">
        <v>1835</v>
      </c>
      <c r="B656" s="2" t="s">
        <v>1018</v>
      </c>
      <c r="C656" s="4" t="n">
        <v>46230</v>
      </c>
      <c r="D656" s="2" t="s">
        <v>1161</v>
      </c>
      <c r="E656" s="2" t="s">
        <v>1162</v>
      </c>
      <c r="F656" s="2"/>
      <c r="G656" s="4"/>
      <c r="H656" s="2" t="str">
        <f aca="false">IF(C656&gt;CRM_Dashboard!$B$3,"Future-dated",IF(AND(B656=B655,C656&lt;C655),"Date out of sequence",IF(AND(G656&lt;&gt;"",G656&lt;=C656),"Follow-up not after interaction","")))</f>
        <v/>
      </c>
    </row>
    <row r="657" customFormat="false" ht="15" hidden="false" customHeight="false" outlineLevel="0" collapsed="false">
      <c r="A657" s="2" t="s">
        <v>1836</v>
      </c>
      <c r="B657" s="2" t="s">
        <v>1018</v>
      </c>
      <c r="C657" s="4" t="n">
        <v>46232</v>
      </c>
      <c r="D657" s="2" t="s">
        <v>1161</v>
      </c>
      <c r="E657" s="2" t="s">
        <v>1162</v>
      </c>
      <c r="F657" s="2" t="s">
        <v>1165</v>
      </c>
      <c r="G657" s="4"/>
      <c r="H657" s="2" t="str">
        <f aca="false">IF(C657&gt;CRM_Dashboard!$B$3,"Future-dated",IF(AND(B657=B656,C657&lt;C656),"Date out of sequence",IF(AND(G657&lt;&gt;"",G657&lt;=C657),"Follow-up not after interaction","")))</f>
        <v/>
      </c>
    </row>
    <row r="658" customFormat="false" ht="15" hidden="false" customHeight="false" outlineLevel="0" collapsed="false">
      <c r="A658" s="2" t="s">
        <v>1837</v>
      </c>
      <c r="B658" s="2" t="s">
        <v>1022</v>
      </c>
      <c r="C658" s="4" t="n">
        <v>46279</v>
      </c>
      <c r="D658" s="2" t="s">
        <v>1161</v>
      </c>
      <c r="E658" s="2" t="s">
        <v>1176</v>
      </c>
      <c r="F658" s="2"/>
      <c r="G658" s="4"/>
      <c r="H658" s="2" t="str">
        <f aca="false">IF(C658&gt;CRM_Dashboard!$B$3,"Future-dated",IF(AND(B658=B657,C658&lt;C657),"Date out of sequence",IF(AND(G658&lt;&gt;"",G658&lt;=C658),"Follow-up not after interaction","")))</f>
        <v/>
      </c>
    </row>
    <row r="659" customFormat="false" ht="15" hidden="false" customHeight="false" outlineLevel="0" collapsed="false">
      <c r="A659" s="2" t="s">
        <v>1838</v>
      </c>
      <c r="B659" s="2" t="s">
        <v>1022</v>
      </c>
      <c r="C659" s="4" t="n">
        <v>46275</v>
      </c>
      <c r="D659" s="2" t="s">
        <v>1161</v>
      </c>
      <c r="E659" s="2" t="s">
        <v>1179</v>
      </c>
      <c r="F659" s="2"/>
      <c r="G659" s="4"/>
      <c r="H659" s="2" t="str">
        <f aca="false">IF(C659&gt;CRM_Dashboard!$B$3,"Future-dated",IF(AND(B659=B658,C659&lt;C658),"Date out of sequence",IF(AND(G659&lt;&gt;"",G659&lt;=C659),"Follow-up not after interaction","")))</f>
        <v>Date out of sequence</v>
      </c>
    </row>
    <row r="660" customFormat="false" ht="15" hidden="false" customHeight="false" outlineLevel="0" collapsed="false">
      <c r="A660" s="2" t="s">
        <v>1839</v>
      </c>
      <c r="B660" s="2" t="s">
        <v>1022</v>
      </c>
      <c r="C660" s="4" t="n">
        <v>46281</v>
      </c>
      <c r="D660" s="2" t="s">
        <v>1161</v>
      </c>
      <c r="E660" s="2" t="s">
        <v>1176</v>
      </c>
      <c r="F660" s="2"/>
      <c r="G660" s="4"/>
      <c r="H660" s="2" t="str">
        <f aca="false">IF(C660&gt;CRM_Dashboard!$B$3,"Future-dated",IF(AND(B660=B659,C660&lt;C659),"Date out of sequence",IF(AND(G660&lt;&gt;"",G660&lt;=C660),"Follow-up not after interaction","")))</f>
        <v/>
      </c>
    </row>
    <row r="661" customFormat="false" ht="15" hidden="false" customHeight="false" outlineLevel="0" collapsed="false">
      <c r="A661" s="2" t="s">
        <v>1840</v>
      </c>
      <c r="B661" s="2" t="s">
        <v>1022</v>
      </c>
      <c r="C661" s="4" t="n">
        <v>46277</v>
      </c>
      <c r="D661" s="2" t="s">
        <v>1161</v>
      </c>
      <c r="E661" s="2" t="s">
        <v>1185</v>
      </c>
      <c r="F661" s="2" t="s">
        <v>1168</v>
      </c>
      <c r="G661" s="4"/>
      <c r="H661" s="2" t="str">
        <f aca="false">IF(C661&gt;CRM_Dashboard!$B$3,"Future-dated",IF(AND(B661=B660,C661&lt;C660),"Date out of sequence",IF(AND(G661&lt;&gt;"",G661&lt;=C661),"Follow-up not after interaction","")))</f>
        <v>Date out of sequence</v>
      </c>
    </row>
    <row r="662" customFormat="false" ht="15" hidden="false" customHeight="false" outlineLevel="0" collapsed="false">
      <c r="A662" s="2" t="s">
        <v>1841</v>
      </c>
      <c r="B662" s="2" t="s">
        <v>1025</v>
      </c>
      <c r="C662" s="4" t="n">
        <v>46281</v>
      </c>
      <c r="D662" s="2" t="s">
        <v>1161</v>
      </c>
      <c r="E662" s="2" t="s">
        <v>1185</v>
      </c>
      <c r="F662" s="2" t="s">
        <v>1203</v>
      </c>
      <c r="G662" s="4"/>
      <c r="H662" s="2" t="str">
        <f aca="false">IF(C662&gt;CRM_Dashboard!$B$3,"Future-dated",IF(AND(B662=B661,C662&lt;C661),"Date out of sequence",IF(AND(G662&lt;&gt;"",G662&lt;=C662),"Follow-up not after interaction","")))</f>
        <v/>
      </c>
    </row>
    <row r="663" customFormat="false" ht="15" hidden="false" customHeight="false" outlineLevel="0" collapsed="false">
      <c r="A663" s="2" t="s">
        <v>1842</v>
      </c>
      <c r="B663" s="2" t="s">
        <v>1028</v>
      </c>
      <c r="C663" s="4" t="n">
        <v>46280</v>
      </c>
      <c r="D663" s="2" t="s">
        <v>1161</v>
      </c>
      <c r="E663" s="2" t="s">
        <v>1162</v>
      </c>
      <c r="F663" s="2"/>
      <c r="G663" s="4"/>
      <c r="H663" s="2" t="str">
        <f aca="false">IF(C663&gt;CRM_Dashboard!$B$3,"Future-dated",IF(AND(B663=B662,C663&lt;C662),"Date out of sequence",IF(AND(G663&lt;&gt;"",G663&lt;=C663),"Follow-up not after interaction","")))</f>
        <v/>
      </c>
    </row>
    <row r="664" customFormat="false" ht="15" hidden="false" customHeight="false" outlineLevel="0" collapsed="false">
      <c r="A664" s="2" t="s">
        <v>1843</v>
      </c>
      <c r="B664" s="2" t="s">
        <v>1028</v>
      </c>
      <c r="C664" s="4" t="n">
        <v>46283</v>
      </c>
      <c r="D664" s="2" t="s">
        <v>1161</v>
      </c>
      <c r="E664" s="2" t="s">
        <v>1162</v>
      </c>
      <c r="F664" s="2"/>
      <c r="G664" s="4"/>
      <c r="H664" s="2" t="str">
        <f aca="false">IF(C664&gt;CRM_Dashboard!$B$3,"Future-dated",IF(AND(B664=B663,C664&lt;C663),"Date out of sequence",IF(AND(G664&lt;&gt;"",G664&lt;=C664),"Follow-up not after interaction","")))</f>
        <v/>
      </c>
    </row>
    <row r="665" customFormat="false" ht="15" hidden="false" customHeight="false" outlineLevel="0" collapsed="false">
      <c r="A665" s="2" t="s">
        <v>1844</v>
      </c>
      <c r="B665" s="2" t="s">
        <v>1028</v>
      </c>
      <c r="C665" s="4" t="n">
        <v>46280</v>
      </c>
      <c r="D665" s="2" t="s">
        <v>1161</v>
      </c>
      <c r="E665" s="2" t="s">
        <v>1162</v>
      </c>
      <c r="F665" s="2"/>
      <c r="G665" s="4"/>
      <c r="H665" s="2" t="str">
        <f aca="false">IF(C665&gt;CRM_Dashboard!$B$3,"Future-dated",IF(AND(B665=B664,C665&lt;C664),"Date out of sequence",IF(AND(G665&lt;&gt;"",G665&lt;=C665),"Follow-up not after interaction","")))</f>
        <v>Date out of sequence</v>
      </c>
    </row>
    <row r="666" customFormat="false" ht="15" hidden="false" customHeight="false" outlineLevel="0" collapsed="false">
      <c r="A666" s="2" t="s">
        <v>1845</v>
      </c>
      <c r="B666" s="2" t="s">
        <v>1028</v>
      </c>
      <c r="C666" s="4" t="n">
        <v>46278</v>
      </c>
      <c r="D666" s="2" t="s">
        <v>1161</v>
      </c>
      <c r="E666" s="2" t="s">
        <v>1167</v>
      </c>
      <c r="F666" s="2" t="s">
        <v>1174</v>
      </c>
      <c r="G666" s="4" t="n">
        <v>46278</v>
      </c>
      <c r="H666" s="2" t="str">
        <f aca="false">IF(C666&gt;CRM_Dashboard!$B$3,"Future-dated",IF(AND(B666=B665,C666&lt;C665),"Date out of sequence",IF(AND(G666&lt;&gt;"",G666&lt;=C666),"Follow-up not after interaction","")))</f>
        <v>Date out of sequence</v>
      </c>
    </row>
    <row r="667" customFormat="false" ht="15" hidden="false" customHeight="false" outlineLevel="0" collapsed="false">
      <c r="A667" s="2" t="s">
        <v>1846</v>
      </c>
      <c r="B667" s="2" t="s">
        <v>1032</v>
      </c>
      <c r="C667" s="4" t="n">
        <v>46253</v>
      </c>
      <c r="D667" s="2" t="s">
        <v>1161</v>
      </c>
      <c r="E667" s="2" t="s">
        <v>1173</v>
      </c>
      <c r="F667" s="2" t="s">
        <v>1168</v>
      </c>
      <c r="G667" s="4" t="n">
        <v>46256</v>
      </c>
      <c r="H667" s="2" t="str">
        <f aca="false">IF(C667&gt;CRM_Dashboard!$B$3,"Future-dated",IF(AND(B667=B666,C667&lt;C666),"Date out of sequence",IF(AND(G667&lt;&gt;"",G667&lt;=C667),"Follow-up not after interaction","")))</f>
        <v/>
      </c>
    </row>
    <row r="668" customFormat="false" ht="15" hidden="false" customHeight="false" outlineLevel="0" collapsed="false">
      <c r="A668" s="2" t="s">
        <v>1847</v>
      </c>
      <c r="B668" s="2" t="s">
        <v>1036</v>
      </c>
      <c r="C668" s="4" t="n">
        <v>46264</v>
      </c>
      <c r="D668" s="2" t="s">
        <v>1161</v>
      </c>
      <c r="E668" s="2" t="s">
        <v>1162</v>
      </c>
      <c r="F668" s="2"/>
      <c r="G668" s="4"/>
      <c r="H668" s="2" t="str">
        <f aca="false">IF(C668&gt;CRM_Dashboard!$B$3,"Future-dated",IF(AND(B668=B667,C668&lt;C667),"Date out of sequence",IF(AND(G668&lt;&gt;"",G668&lt;=C668),"Follow-up not after interaction","")))</f>
        <v/>
      </c>
    </row>
    <row r="669" customFormat="false" ht="15" hidden="false" customHeight="false" outlineLevel="0" collapsed="false">
      <c r="A669" s="2" t="s">
        <v>1848</v>
      </c>
      <c r="B669" s="2" t="s">
        <v>1036</v>
      </c>
      <c r="C669" s="4" t="n">
        <v>46264</v>
      </c>
      <c r="D669" s="2" t="s">
        <v>1161</v>
      </c>
      <c r="E669" s="2" t="s">
        <v>1176</v>
      </c>
      <c r="F669" s="2"/>
      <c r="G669" s="4"/>
      <c r="H669" s="2" t="str">
        <f aca="false">IF(C669&gt;CRM_Dashboard!$B$3,"Future-dated",IF(AND(B669=B668,C669&lt;C668),"Date out of sequence",IF(AND(G669&lt;&gt;"",G669&lt;=C669),"Follow-up not after interaction","")))</f>
        <v/>
      </c>
    </row>
    <row r="670" customFormat="false" ht="15" hidden="false" customHeight="false" outlineLevel="0" collapsed="false">
      <c r="A670" s="2" t="s">
        <v>1849</v>
      </c>
      <c r="B670" s="2" t="s">
        <v>1036</v>
      </c>
      <c r="C670" s="4" t="n">
        <v>46266</v>
      </c>
      <c r="D670" s="2" t="s">
        <v>1161</v>
      </c>
      <c r="E670" s="2" t="s">
        <v>1167</v>
      </c>
      <c r="F670" s="2" t="s">
        <v>1183</v>
      </c>
      <c r="G670" s="4" t="n">
        <v>46264</v>
      </c>
      <c r="H670" s="2" t="str">
        <f aca="false">IF(C670&gt;CRM_Dashboard!$B$3,"Future-dated",IF(AND(B670=B669,C670&lt;C669),"Date out of sequence",IF(AND(G670&lt;&gt;"",G670&lt;=C670),"Follow-up not after interaction","")))</f>
        <v>Follow-up not after interaction</v>
      </c>
    </row>
    <row r="671" customFormat="false" ht="15" hidden="false" customHeight="false" outlineLevel="0" collapsed="false">
      <c r="A671" s="2" t="s">
        <v>1850</v>
      </c>
      <c r="B671" s="2" t="s">
        <v>1040</v>
      </c>
      <c r="C671" s="4" t="n">
        <v>46271</v>
      </c>
      <c r="D671" s="2" t="s">
        <v>1161</v>
      </c>
      <c r="E671" s="2" t="s">
        <v>1162</v>
      </c>
      <c r="F671" s="2"/>
      <c r="G671" s="4"/>
      <c r="H671" s="2" t="str">
        <f aca="false">IF(C671&gt;CRM_Dashboard!$B$3,"Future-dated",IF(AND(B671=B670,C671&lt;C670),"Date out of sequence",IF(AND(G671&lt;&gt;"",G671&lt;=C671),"Follow-up not after interaction","")))</f>
        <v/>
      </c>
    </row>
    <row r="672" customFormat="false" ht="15" hidden="false" customHeight="false" outlineLevel="0" collapsed="false">
      <c r="A672" s="2" t="s">
        <v>1851</v>
      </c>
      <c r="B672" s="2" t="s">
        <v>1040</v>
      </c>
      <c r="C672" s="4" t="n">
        <v>46270</v>
      </c>
      <c r="D672" s="2" t="s">
        <v>1161</v>
      </c>
      <c r="E672" s="2" t="s">
        <v>1188</v>
      </c>
      <c r="F672" s="2" t="s">
        <v>1177</v>
      </c>
      <c r="G672" s="4"/>
      <c r="H672" s="2" t="str">
        <f aca="false">IF(C672&gt;CRM_Dashboard!$B$3,"Future-dated",IF(AND(B672=B671,C672&lt;C671),"Date out of sequence",IF(AND(G672&lt;&gt;"",G672&lt;=C672),"Follow-up not after interaction","")))</f>
        <v>Date out of sequence</v>
      </c>
    </row>
    <row r="673" customFormat="false" ht="15" hidden="false" customHeight="false" outlineLevel="0" collapsed="false">
      <c r="A673" s="2" t="s">
        <v>1852</v>
      </c>
      <c r="B673" s="2" t="s">
        <v>1044</v>
      </c>
      <c r="C673" s="4" t="n">
        <v>46235</v>
      </c>
      <c r="D673" s="2" t="s">
        <v>1161</v>
      </c>
      <c r="E673" s="2" t="s">
        <v>1176</v>
      </c>
      <c r="F673" s="2" t="s">
        <v>1165</v>
      </c>
      <c r="G673" s="4" t="n">
        <v>46239</v>
      </c>
      <c r="H673" s="2" t="str">
        <f aca="false">IF(C673&gt;CRM_Dashboard!$B$3,"Future-dated",IF(AND(B673=B672,C673&lt;C672),"Date out of sequence",IF(AND(G673&lt;&gt;"",G673&lt;=C673),"Follow-up not after interaction","")))</f>
        <v/>
      </c>
    </row>
    <row r="674" customFormat="false" ht="15" hidden="false" customHeight="false" outlineLevel="0" collapsed="false">
      <c r="A674" s="2" t="s">
        <v>1853</v>
      </c>
      <c r="B674" s="2" t="s">
        <v>1047</v>
      </c>
      <c r="C674" s="4" t="n">
        <v>46234</v>
      </c>
      <c r="D674" s="2" t="s">
        <v>1161</v>
      </c>
      <c r="E674" s="2" t="s">
        <v>1176</v>
      </c>
      <c r="F674" s="2"/>
      <c r="G674" s="4"/>
      <c r="H674" s="2" t="str">
        <f aca="false">IF(C674&gt;CRM_Dashboard!$B$3,"Future-dated",IF(AND(B674=B673,C674&lt;C673),"Date out of sequence",IF(AND(G674&lt;&gt;"",G674&lt;=C674),"Follow-up not after interaction","")))</f>
        <v/>
      </c>
    </row>
    <row r="675" customFormat="false" ht="15" hidden="false" customHeight="false" outlineLevel="0" collapsed="false">
      <c r="A675" s="2" t="s">
        <v>1854</v>
      </c>
      <c r="B675" s="2" t="s">
        <v>1047</v>
      </c>
      <c r="C675" s="4" t="n">
        <v>46238</v>
      </c>
      <c r="D675" s="2" t="s">
        <v>1161</v>
      </c>
      <c r="E675" s="2" t="s">
        <v>1176</v>
      </c>
      <c r="F675" s="2"/>
      <c r="G675" s="4"/>
      <c r="H675" s="2" t="str">
        <f aca="false">IF(C675&gt;CRM_Dashboard!$B$3,"Future-dated",IF(AND(B675=B674,C675&lt;C674),"Date out of sequence",IF(AND(G675&lt;&gt;"",G675&lt;=C675),"Follow-up not after interaction","")))</f>
        <v/>
      </c>
    </row>
    <row r="676" customFormat="false" ht="15" hidden="false" customHeight="false" outlineLevel="0" collapsed="false">
      <c r="A676" s="2" t="s">
        <v>1855</v>
      </c>
      <c r="B676" s="2" t="s">
        <v>1047</v>
      </c>
      <c r="C676" s="4" t="n">
        <v>46242</v>
      </c>
      <c r="D676" s="2" t="s">
        <v>1161</v>
      </c>
      <c r="E676" s="2" t="s">
        <v>1171</v>
      </c>
      <c r="F676" s="2" t="s">
        <v>1165</v>
      </c>
      <c r="G676" s="4"/>
      <c r="H676" s="2" t="str">
        <f aca="false">IF(C676&gt;CRM_Dashboard!$B$3,"Future-dated",IF(AND(B676=B675,C676&lt;C675),"Date out of sequence",IF(AND(G676&lt;&gt;"",G676&lt;=C676),"Follow-up not after interaction","")))</f>
        <v/>
      </c>
    </row>
    <row r="677" customFormat="false" ht="15" hidden="false" customHeight="false" outlineLevel="0" collapsed="false">
      <c r="A677" s="2" t="s">
        <v>1856</v>
      </c>
      <c r="B677" s="2" t="s">
        <v>1051</v>
      </c>
      <c r="C677" s="4" t="n">
        <v>46253</v>
      </c>
      <c r="D677" s="2" t="s">
        <v>1161</v>
      </c>
      <c r="E677" s="2" t="s">
        <v>1162</v>
      </c>
      <c r="F677" s="2" t="s">
        <v>1195</v>
      </c>
      <c r="G677" s="4"/>
      <c r="H677" s="2" t="str">
        <f aca="false">IF(C677&gt;CRM_Dashboard!$B$3,"Future-dated",IF(AND(B677=B676,C677&lt;C676),"Date out of sequence",IF(AND(G677&lt;&gt;"",G677&lt;=C677),"Follow-up not after interaction","")))</f>
        <v/>
      </c>
    </row>
    <row r="678" customFormat="false" ht="15" hidden="false" customHeight="false" outlineLevel="0" collapsed="false">
      <c r="A678" s="2" t="s">
        <v>1857</v>
      </c>
      <c r="B678" s="2" t="s">
        <v>1054</v>
      </c>
      <c r="C678" s="4" t="n">
        <v>46273</v>
      </c>
      <c r="D678" s="2" t="s">
        <v>1161</v>
      </c>
      <c r="E678" s="2" t="s">
        <v>1179</v>
      </c>
      <c r="F678" s="2" t="s">
        <v>1209</v>
      </c>
      <c r="G678" s="4"/>
      <c r="H678" s="2" t="str">
        <f aca="false">IF(C678&gt;CRM_Dashboard!$B$3,"Future-dated",IF(AND(B678=B677,C678&lt;C677),"Date out of sequence",IF(AND(G678&lt;&gt;"",G678&lt;=C678),"Follow-up not after interaction","")))</f>
        <v/>
      </c>
    </row>
    <row r="679" customFormat="false" ht="15" hidden="false" customHeight="false" outlineLevel="0" collapsed="false">
      <c r="A679" s="2" t="s">
        <v>1858</v>
      </c>
      <c r="B679" s="2" t="s">
        <v>1057</v>
      </c>
      <c r="C679" s="4" t="n">
        <v>46281</v>
      </c>
      <c r="D679" s="2" t="s">
        <v>1161</v>
      </c>
      <c r="E679" s="2" t="s">
        <v>1188</v>
      </c>
      <c r="F679" s="2"/>
      <c r="G679" s="4"/>
      <c r="H679" s="2" t="str">
        <f aca="false">IF(C679&gt;CRM_Dashboard!$B$3,"Future-dated",IF(AND(B679=B678,C679&lt;C678),"Date out of sequence",IF(AND(G679&lt;&gt;"",G679&lt;=C679),"Follow-up not after interaction","")))</f>
        <v/>
      </c>
    </row>
    <row r="680" customFormat="false" ht="15" hidden="false" customHeight="false" outlineLevel="0" collapsed="false">
      <c r="A680" s="2" t="s">
        <v>1859</v>
      </c>
      <c r="B680" s="2" t="s">
        <v>1057</v>
      </c>
      <c r="C680" s="4" t="n">
        <v>46284</v>
      </c>
      <c r="D680" s="2" t="s">
        <v>1161</v>
      </c>
      <c r="E680" s="2" t="s">
        <v>1188</v>
      </c>
      <c r="F680" s="2"/>
      <c r="G680" s="4"/>
      <c r="H680" s="2" t="str">
        <f aca="false">IF(C680&gt;CRM_Dashboard!$B$3,"Future-dated",IF(AND(B680=B679,C680&lt;C679),"Date out of sequence",IF(AND(G680&lt;&gt;"",G680&lt;=C680),"Follow-up not after interaction","")))</f>
        <v/>
      </c>
    </row>
    <row r="681" customFormat="false" ht="15" hidden="false" customHeight="false" outlineLevel="0" collapsed="false">
      <c r="A681" s="2" t="s">
        <v>1860</v>
      </c>
      <c r="B681" s="2" t="s">
        <v>1057</v>
      </c>
      <c r="C681" s="4" t="n">
        <v>46284</v>
      </c>
      <c r="D681" s="2" t="s">
        <v>1161</v>
      </c>
      <c r="E681" s="2" t="s">
        <v>1162</v>
      </c>
      <c r="F681" s="2" t="s">
        <v>1203</v>
      </c>
      <c r="G681" s="4"/>
      <c r="H681" s="2" t="str">
        <f aca="false">IF(C681&gt;CRM_Dashboard!$B$3,"Future-dated",IF(AND(B681=B680,C681&lt;C680),"Date out of sequence",IF(AND(G681&lt;&gt;"",G681&lt;=C681),"Follow-up not after interaction","")))</f>
        <v/>
      </c>
    </row>
    <row r="682" customFormat="false" ht="15" hidden="false" customHeight="false" outlineLevel="0" collapsed="false">
      <c r="A682" s="2" t="s">
        <v>1861</v>
      </c>
      <c r="B682" s="2" t="s">
        <v>1060</v>
      </c>
      <c r="C682" s="4" t="n">
        <v>46206</v>
      </c>
      <c r="D682" s="2" t="s">
        <v>1161</v>
      </c>
      <c r="E682" s="2" t="s">
        <v>1167</v>
      </c>
      <c r="F682" s="2"/>
      <c r="G682" s="4"/>
      <c r="H682" s="2" t="str">
        <f aca="false">IF(C682&gt;CRM_Dashboard!$B$3,"Future-dated",IF(AND(B682=B681,C682&lt;C681),"Date out of sequence",IF(AND(G682&lt;&gt;"",G682&lt;=C682),"Follow-up not after interaction","")))</f>
        <v/>
      </c>
    </row>
    <row r="683" customFormat="false" ht="15" hidden="false" customHeight="false" outlineLevel="0" collapsed="false">
      <c r="A683" s="2" t="s">
        <v>1862</v>
      </c>
      <c r="B683" s="2" t="s">
        <v>1060</v>
      </c>
      <c r="C683" s="4" t="n">
        <v>46207</v>
      </c>
      <c r="D683" s="2" t="s">
        <v>1161</v>
      </c>
      <c r="E683" s="2" t="s">
        <v>1167</v>
      </c>
      <c r="F683" s="2"/>
      <c r="G683" s="4"/>
      <c r="H683" s="2" t="str">
        <f aca="false">IF(C683&gt;CRM_Dashboard!$B$3,"Future-dated",IF(AND(B683=B682,C683&lt;C682),"Date out of sequence",IF(AND(G683&lt;&gt;"",G683&lt;=C683),"Follow-up not after interaction","")))</f>
        <v/>
      </c>
    </row>
    <row r="684" customFormat="false" ht="15" hidden="false" customHeight="false" outlineLevel="0" collapsed="false">
      <c r="A684" s="2" t="s">
        <v>1863</v>
      </c>
      <c r="B684" s="2" t="s">
        <v>1060</v>
      </c>
      <c r="C684" s="4" t="n">
        <v>46209</v>
      </c>
      <c r="D684" s="2" t="s">
        <v>1161</v>
      </c>
      <c r="E684" s="2" t="s">
        <v>1173</v>
      </c>
      <c r="F684" s="2" t="s">
        <v>1195</v>
      </c>
      <c r="G684" s="4" t="n">
        <v>46212</v>
      </c>
      <c r="H684" s="2" t="str">
        <f aca="false">IF(C684&gt;CRM_Dashboard!$B$3,"Future-dated",IF(AND(B684=B683,C684&lt;C683),"Date out of sequence",IF(AND(G684&lt;&gt;"",G684&lt;=C684),"Follow-up not after interaction","")))</f>
        <v/>
      </c>
    </row>
    <row r="685" customFormat="false" ht="15" hidden="false" customHeight="false" outlineLevel="0" collapsed="false">
      <c r="A685" s="2" t="s">
        <v>1864</v>
      </c>
      <c r="B685" s="2" t="s">
        <v>1064</v>
      </c>
      <c r="C685" s="4" t="n">
        <v>46287</v>
      </c>
      <c r="D685" s="2" t="s">
        <v>1161</v>
      </c>
      <c r="E685" s="2" t="s">
        <v>1162</v>
      </c>
      <c r="F685" s="2"/>
      <c r="G685" s="4"/>
      <c r="H685" s="2" t="str">
        <f aca="false">IF(C685&gt;CRM_Dashboard!$B$3,"Future-dated",IF(AND(B685=B684,C685&lt;C684),"Date out of sequence",IF(AND(G685&lt;&gt;"",G685&lt;=C685),"Follow-up not after interaction","")))</f>
        <v/>
      </c>
    </row>
    <row r="686" customFormat="false" ht="15" hidden="false" customHeight="false" outlineLevel="0" collapsed="false">
      <c r="A686" s="2" t="s">
        <v>1865</v>
      </c>
      <c r="B686" s="2" t="s">
        <v>1064</v>
      </c>
      <c r="C686" s="4" t="n">
        <v>46288</v>
      </c>
      <c r="D686" s="2" t="s">
        <v>1161</v>
      </c>
      <c r="E686" s="2" t="s">
        <v>1176</v>
      </c>
      <c r="F686" s="2"/>
      <c r="G686" s="4"/>
      <c r="H686" s="2" t="str">
        <f aca="false">IF(C686&gt;CRM_Dashboard!$B$3,"Future-dated",IF(AND(B686=B685,C686&lt;C685),"Date out of sequence",IF(AND(G686&lt;&gt;"",G686&lt;=C686),"Follow-up not after interaction","")))</f>
        <v/>
      </c>
    </row>
    <row r="687" customFormat="false" ht="15" hidden="false" customHeight="false" outlineLevel="0" collapsed="false">
      <c r="A687" s="2" t="s">
        <v>1866</v>
      </c>
      <c r="B687" s="2" t="s">
        <v>1064</v>
      </c>
      <c r="C687" s="4" t="n">
        <v>46293</v>
      </c>
      <c r="D687" s="2" t="s">
        <v>1161</v>
      </c>
      <c r="E687" s="2" t="s">
        <v>1185</v>
      </c>
      <c r="F687" s="2" t="s">
        <v>1209</v>
      </c>
      <c r="G687" s="4"/>
      <c r="H687" s="2" t="str">
        <f aca="false">IF(C687&gt;CRM_Dashboard!$B$3,"Future-dated",IF(AND(B687=B686,C687&lt;C686),"Date out of sequence",IF(AND(G687&lt;&gt;"",G687&lt;=C687),"Follow-up not after interaction","")))</f>
        <v/>
      </c>
    </row>
    <row r="688" customFormat="false" ht="15" hidden="false" customHeight="false" outlineLevel="0" collapsed="false">
      <c r="A688" s="2" t="s">
        <v>1867</v>
      </c>
      <c r="B688" s="2" t="s">
        <v>1068</v>
      </c>
      <c r="C688" s="4" t="n">
        <v>46245</v>
      </c>
      <c r="D688" s="2" t="s">
        <v>1161</v>
      </c>
      <c r="E688" s="2" t="s">
        <v>1205</v>
      </c>
      <c r="F688" s="2"/>
      <c r="G688" s="4"/>
      <c r="H688" s="2" t="str">
        <f aca="false">IF(C688&gt;CRM_Dashboard!$B$3,"Future-dated",IF(AND(B688=B687,C688&lt;C687),"Date out of sequence",IF(AND(G688&lt;&gt;"",G688&lt;=C688),"Follow-up not after interaction","")))</f>
        <v/>
      </c>
    </row>
    <row r="689" customFormat="false" ht="15" hidden="false" customHeight="false" outlineLevel="0" collapsed="false">
      <c r="A689" s="2" t="s">
        <v>1868</v>
      </c>
      <c r="B689" s="2" t="s">
        <v>1068</v>
      </c>
      <c r="C689" s="4" t="n">
        <v>46243</v>
      </c>
      <c r="D689" s="2" t="s">
        <v>1161</v>
      </c>
      <c r="E689" s="2" t="s">
        <v>1176</v>
      </c>
      <c r="F689" s="2"/>
      <c r="G689" s="4"/>
      <c r="H689" s="2" t="str">
        <f aca="false">IF(C689&gt;CRM_Dashboard!$B$3,"Future-dated",IF(AND(B689=B688,C689&lt;C688),"Date out of sequence",IF(AND(G689&lt;&gt;"",G689&lt;=C689),"Follow-up not after interaction","")))</f>
        <v>Date out of sequence</v>
      </c>
    </row>
    <row r="690" customFormat="false" ht="15" hidden="false" customHeight="false" outlineLevel="0" collapsed="false">
      <c r="A690" s="2" t="s">
        <v>1869</v>
      </c>
      <c r="B690" s="2" t="s">
        <v>1068</v>
      </c>
      <c r="C690" s="4" t="n">
        <v>46245</v>
      </c>
      <c r="D690" s="2" t="s">
        <v>1161</v>
      </c>
      <c r="E690" s="2" t="s">
        <v>1188</v>
      </c>
      <c r="F690" s="2" t="s">
        <v>1174</v>
      </c>
      <c r="G690" s="4"/>
      <c r="H690" s="2" t="str">
        <f aca="false">IF(C690&gt;CRM_Dashboard!$B$3,"Future-dated",IF(AND(B690=B689,C690&lt;C689),"Date out of sequence",IF(AND(G690&lt;&gt;"",G690&lt;=C690),"Follow-up not after interaction","")))</f>
        <v/>
      </c>
    </row>
    <row r="691" customFormat="false" ht="15" hidden="false" customHeight="false" outlineLevel="0" collapsed="false">
      <c r="A691" s="2" t="s">
        <v>1870</v>
      </c>
      <c r="B691" s="2" t="s">
        <v>1071</v>
      </c>
      <c r="C691" s="4" t="n">
        <v>46253</v>
      </c>
      <c r="D691" s="2" t="s">
        <v>1161</v>
      </c>
      <c r="E691" s="2" t="s">
        <v>1252</v>
      </c>
      <c r="F691" s="2"/>
      <c r="G691" s="4"/>
      <c r="H691" s="2" t="str">
        <f aca="false">IF(C691&gt;CRM_Dashboard!$B$3,"Future-dated",IF(AND(B691=B690,C691&lt;C690),"Date out of sequence",IF(AND(G691&lt;&gt;"",G691&lt;=C691),"Follow-up not after interaction","")))</f>
        <v/>
      </c>
    </row>
    <row r="692" customFormat="false" ht="15" hidden="false" customHeight="false" outlineLevel="0" collapsed="false">
      <c r="A692" s="2" t="s">
        <v>1871</v>
      </c>
      <c r="B692" s="2" t="s">
        <v>1071</v>
      </c>
      <c r="C692" s="4" t="n">
        <v>46252</v>
      </c>
      <c r="D692" s="2" t="s">
        <v>1161</v>
      </c>
      <c r="E692" s="2" t="s">
        <v>1252</v>
      </c>
      <c r="F692" s="2"/>
      <c r="G692" s="4"/>
      <c r="H692" s="2" t="str">
        <f aca="false">IF(C692&gt;CRM_Dashboard!$B$3,"Future-dated",IF(AND(B692=B691,C692&lt;C691),"Date out of sequence",IF(AND(G692&lt;&gt;"",G692&lt;=C692),"Follow-up not after interaction","")))</f>
        <v>Date out of sequence</v>
      </c>
    </row>
    <row r="693" customFormat="false" ht="15" hidden="false" customHeight="false" outlineLevel="0" collapsed="false">
      <c r="A693" s="2" t="s">
        <v>1872</v>
      </c>
      <c r="B693" s="2" t="s">
        <v>1071</v>
      </c>
      <c r="C693" s="4" t="n">
        <v>46254</v>
      </c>
      <c r="D693" s="2" t="s">
        <v>1161</v>
      </c>
      <c r="E693" s="2" t="s">
        <v>1179</v>
      </c>
      <c r="F693" s="2" t="s">
        <v>1168</v>
      </c>
      <c r="G693" s="4"/>
      <c r="H693" s="2" t="str">
        <f aca="false">IF(C693&gt;CRM_Dashboard!$B$3,"Future-dated",IF(AND(B693=B692,C693&lt;C692),"Date out of sequence",IF(AND(G693&lt;&gt;"",G693&lt;=C693),"Follow-up not after interaction","")))</f>
        <v/>
      </c>
    </row>
    <row r="694" customFormat="false" ht="15" hidden="false" customHeight="false" outlineLevel="0" collapsed="false">
      <c r="A694" s="2" t="s">
        <v>1873</v>
      </c>
      <c r="B694" s="2" t="s">
        <v>1075</v>
      </c>
      <c r="C694" s="4" t="n">
        <v>46250</v>
      </c>
      <c r="D694" s="2" t="s">
        <v>1161</v>
      </c>
      <c r="E694" s="2" t="s">
        <v>1162</v>
      </c>
      <c r="F694" s="2" t="s">
        <v>1195</v>
      </c>
      <c r="G694" s="4"/>
      <c r="H694" s="2" t="str">
        <f aca="false">IF(C694&gt;CRM_Dashboard!$B$3,"Future-dated",IF(AND(B694=B693,C694&lt;C693),"Date out of sequence",IF(AND(G694&lt;&gt;"",G694&lt;=C694),"Follow-up not after interaction","")))</f>
        <v/>
      </c>
    </row>
    <row r="695" customFormat="false" ht="15" hidden="false" customHeight="false" outlineLevel="0" collapsed="false">
      <c r="A695" s="2" t="s">
        <v>1874</v>
      </c>
      <c r="B695" s="2" t="s">
        <v>1078</v>
      </c>
      <c r="C695" s="4" t="n">
        <v>46221</v>
      </c>
      <c r="D695" s="2" t="s">
        <v>1161</v>
      </c>
      <c r="E695" s="2" t="s">
        <v>1162</v>
      </c>
      <c r="F695" s="2"/>
      <c r="G695" s="4"/>
      <c r="H695" s="2" t="str">
        <f aca="false">IF(C695&gt;CRM_Dashboard!$B$3,"Future-dated",IF(AND(B695=B694,C695&lt;C694),"Date out of sequence",IF(AND(G695&lt;&gt;"",G695&lt;=C695),"Follow-up not after interaction","")))</f>
        <v/>
      </c>
    </row>
    <row r="696" customFormat="false" ht="15" hidden="false" customHeight="false" outlineLevel="0" collapsed="false">
      <c r="A696" s="2" t="s">
        <v>1875</v>
      </c>
      <c r="B696" s="2" t="s">
        <v>1078</v>
      </c>
      <c r="C696" s="4" t="n">
        <v>46224</v>
      </c>
      <c r="D696" s="2" t="s">
        <v>1161</v>
      </c>
      <c r="E696" s="2" t="s">
        <v>1167</v>
      </c>
      <c r="F696" s="2"/>
      <c r="G696" s="4"/>
      <c r="H696" s="2" t="str">
        <f aca="false">IF(C696&gt;CRM_Dashboard!$B$3,"Future-dated",IF(AND(B696=B695,C696&lt;C695),"Date out of sequence",IF(AND(G696&lt;&gt;"",G696&lt;=C696),"Follow-up not after interaction","")))</f>
        <v/>
      </c>
    </row>
    <row r="697" customFormat="false" ht="15" hidden="false" customHeight="false" outlineLevel="0" collapsed="false">
      <c r="A697" s="2" t="s">
        <v>1876</v>
      </c>
      <c r="B697" s="2" t="s">
        <v>1078</v>
      </c>
      <c r="C697" s="4" t="n">
        <v>46225</v>
      </c>
      <c r="D697" s="2" t="s">
        <v>1161</v>
      </c>
      <c r="E697" s="2" t="s">
        <v>1167</v>
      </c>
      <c r="F697" s="2"/>
      <c r="G697" s="4"/>
      <c r="H697" s="2" t="str">
        <f aca="false">IF(C697&gt;CRM_Dashboard!$B$3,"Future-dated",IF(AND(B697=B696,C697&lt;C696),"Date out of sequence",IF(AND(G697&lt;&gt;"",G697&lt;=C697),"Follow-up not after interaction","")))</f>
        <v/>
      </c>
    </row>
    <row r="698" customFormat="false" ht="15" hidden="false" customHeight="false" outlineLevel="0" collapsed="false">
      <c r="A698" s="2" t="s">
        <v>1877</v>
      </c>
      <c r="B698" s="2" t="s">
        <v>1078</v>
      </c>
      <c r="C698" s="4" t="n">
        <v>46222</v>
      </c>
      <c r="D698" s="2" t="s">
        <v>1161</v>
      </c>
      <c r="E698" s="2" t="s">
        <v>1167</v>
      </c>
      <c r="F698" s="2" t="s">
        <v>1203</v>
      </c>
      <c r="G698" s="4" t="n">
        <v>46223</v>
      </c>
      <c r="H698" s="2" t="str">
        <f aca="false">IF(C698&gt;CRM_Dashboard!$B$3,"Future-dated",IF(AND(B698=B697,C698&lt;C697),"Date out of sequence",IF(AND(G698&lt;&gt;"",G698&lt;=C698),"Follow-up not after interaction","")))</f>
        <v>Date out of sequence</v>
      </c>
    </row>
    <row r="699" customFormat="false" ht="15" hidden="false" customHeight="false" outlineLevel="0" collapsed="false">
      <c r="A699" s="2" t="s">
        <v>1878</v>
      </c>
      <c r="B699" s="2" t="s">
        <v>1082</v>
      </c>
      <c r="C699" s="4" t="n">
        <v>46226</v>
      </c>
      <c r="D699" s="2" t="s">
        <v>1235</v>
      </c>
      <c r="E699" s="2" t="s">
        <v>1236</v>
      </c>
      <c r="F699" s="2"/>
      <c r="G699" s="4"/>
      <c r="H699" s="2" t="str">
        <f aca="false">IF(C699&gt;CRM_Dashboard!$B$3,"Future-dated",IF(AND(B699=B698,C699&lt;C698),"Date out of sequence",IF(AND(G699&lt;&gt;"",G699&lt;=C699),"Follow-up not after interaction","")))</f>
        <v/>
      </c>
    </row>
    <row r="700" customFormat="false" ht="15" hidden="false" customHeight="false" outlineLevel="0" collapsed="false">
      <c r="A700" s="2" t="s">
        <v>1879</v>
      </c>
      <c r="B700" s="2" t="s">
        <v>1082</v>
      </c>
      <c r="C700" s="4" t="n">
        <v>46227</v>
      </c>
      <c r="D700" s="2" t="s">
        <v>1161</v>
      </c>
      <c r="E700" s="2" t="s">
        <v>1173</v>
      </c>
      <c r="F700" s="2" t="s">
        <v>1174</v>
      </c>
      <c r="G700" s="4" t="n">
        <v>46231</v>
      </c>
      <c r="H700" s="2" t="str">
        <f aca="false">IF(C700&gt;CRM_Dashboard!$B$3,"Future-dated",IF(AND(B700=B699,C700&lt;C699),"Date out of sequence",IF(AND(G700&lt;&gt;"",G700&lt;=C700),"Follow-up not after interaction","")))</f>
        <v/>
      </c>
    </row>
    <row r="701" customFormat="false" ht="15" hidden="false" customHeight="false" outlineLevel="0" collapsed="false">
      <c r="A701" s="2" t="s">
        <v>1880</v>
      </c>
      <c r="B701" s="2" t="s">
        <v>1085</v>
      </c>
      <c r="C701" s="4" t="n">
        <v>46230</v>
      </c>
      <c r="D701" s="2" t="s">
        <v>1161</v>
      </c>
      <c r="E701" s="2" t="s">
        <v>1167</v>
      </c>
      <c r="F701" s="2"/>
      <c r="G701" s="4"/>
      <c r="H701" s="2" t="str">
        <f aca="false">IF(C701&gt;CRM_Dashboard!$B$3,"Future-dated",IF(AND(B701=B700,C701&lt;C700),"Date out of sequence",IF(AND(G701&lt;&gt;"",G701&lt;=C701),"Follow-up not after interaction","")))</f>
        <v/>
      </c>
    </row>
    <row r="702" customFormat="false" ht="15" hidden="false" customHeight="false" outlineLevel="0" collapsed="false">
      <c r="A702" s="2" t="s">
        <v>1881</v>
      </c>
      <c r="B702" s="2" t="s">
        <v>1085</v>
      </c>
      <c r="C702" s="4" t="n">
        <v>46229</v>
      </c>
      <c r="D702" s="2" t="s">
        <v>1161</v>
      </c>
      <c r="E702" s="2" t="s">
        <v>1162</v>
      </c>
      <c r="F702" s="2"/>
      <c r="G702" s="4"/>
      <c r="H702" s="2" t="str">
        <f aca="false">IF(C702&gt;CRM_Dashboard!$B$3,"Future-dated",IF(AND(B702=B701,C702&lt;C701),"Date out of sequence",IF(AND(G702&lt;&gt;"",G702&lt;=C702),"Follow-up not after interaction","")))</f>
        <v>Date out of sequence</v>
      </c>
    </row>
    <row r="703" customFormat="false" ht="15" hidden="false" customHeight="false" outlineLevel="0" collapsed="false">
      <c r="A703" s="2" t="s">
        <v>1882</v>
      </c>
      <c r="B703" s="2" t="s">
        <v>1085</v>
      </c>
      <c r="C703" s="4" t="n">
        <v>46228</v>
      </c>
      <c r="D703" s="2" t="s">
        <v>1161</v>
      </c>
      <c r="E703" s="2" t="s">
        <v>1162</v>
      </c>
      <c r="F703" s="2" t="s">
        <v>1168</v>
      </c>
      <c r="G703" s="4"/>
      <c r="H703" s="2" t="str">
        <f aca="false">IF(C703&gt;CRM_Dashboard!$B$3,"Future-dated",IF(AND(B703=B702,C703&lt;C702),"Date out of sequence",IF(AND(G703&lt;&gt;"",G703&lt;=C703),"Follow-up not after interaction","")))</f>
        <v>Date out of sequence</v>
      </c>
    </row>
    <row r="704" customFormat="false" ht="15" hidden="false" customHeight="false" outlineLevel="0" collapsed="false">
      <c r="A704" s="2" t="s">
        <v>1883</v>
      </c>
      <c r="B704" s="2" t="s">
        <v>1089</v>
      </c>
      <c r="C704" s="4" t="n">
        <v>46287</v>
      </c>
      <c r="D704" s="2" t="s">
        <v>1161</v>
      </c>
      <c r="E704" s="2" t="s">
        <v>1176</v>
      </c>
      <c r="F704" s="2"/>
      <c r="G704" s="4"/>
      <c r="H704" s="2" t="str">
        <f aca="false">IF(C704&gt;CRM_Dashboard!$B$3,"Future-dated",IF(AND(B704=B703,C704&lt;C703),"Date out of sequence",IF(AND(G704&lt;&gt;"",G704&lt;=C704),"Follow-up not after interaction","")))</f>
        <v/>
      </c>
    </row>
    <row r="705" customFormat="false" ht="15" hidden="false" customHeight="false" outlineLevel="0" collapsed="false">
      <c r="A705" s="2" t="s">
        <v>1884</v>
      </c>
      <c r="B705" s="2" t="s">
        <v>1089</v>
      </c>
      <c r="C705" s="4" t="n">
        <v>46289</v>
      </c>
      <c r="D705" s="2" t="s">
        <v>1161</v>
      </c>
      <c r="E705" s="2" t="s">
        <v>1171</v>
      </c>
      <c r="F705" s="2"/>
      <c r="G705" s="4"/>
      <c r="H705" s="2" t="str">
        <f aca="false">IF(C705&gt;CRM_Dashboard!$B$3,"Future-dated",IF(AND(B705=B704,C705&lt;C704),"Date out of sequence",IF(AND(G705&lt;&gt;"",G705&lt;=C705),"Follow-up not after interaction","")))</f>
        <v/>
      </c>
    </row>
    <row r="706" customFormat="false" ht="15" hidden="false" customHeight="false" outlineLevel="0" collapsed="false">
      <c r="A706" s="2" t="s">
        <v>1885</v>
      </c>
      <c r="B706" s="2" t="s">
        <v>1089</v>
      </c>
      <c r="C706" s="4" t="n">
        <v>46293</v>
      </c>
      <c r="D706" s="2" t="s">
        <v>1161</v>
      </c>
      <c r="E706" s="2" t="s">
        <v>1176</v>
      </c>
      <c r="F706" s="2"/>
      <c r="G706" s="4"/>
      <c r="H706" s="2" t="str">
        <f aca="false">IF(C706&gt;CRM_Dashboard!$B$3,"Future-dated",IF(AND(B706=B705,C706&lt;C705),"Date out of sequence",IF(AND(G706&lt;&gt;"",G706&lt;=C706),"Follow-up not after interaction","")))</f>
        <v/>
      </c>
    </row>
    <row r="707" customFormat="false" ht="15" hidden="false" customHeight="false" outlineLevel="0" collapsed="false">
      <c r="A707" s="2" t="s">
        <v>1886</v>
      </c>
      <c r="B707" s="2" t="s">
        <v>1089</v>
      </c>
      <c r="C707" s="4" t="n">
        <v>46292</v>
      </c>
      <c r="D707" s="2" t="s">
        <v>1161</v>
      </c>
      <c r="E707" s="2" t="s">
        <v>1162</v>
      </c>
      <c r="F707" s="2" t="s">
        <v>1209</v>
      </c>
      <c r="G707" s="4"/>
      <c r="H707" s="2" t="str">
        <f aca="false">IF(C707&gt;CRM_Dashboard!$B$3,"Future-dated",IF(AND(B707=B706,C707&lt;C706),"Date out of sequence",IF(AND(G707&lt;&gt;"",G707&lt;=C707),"Follow-up not after interaction","")))</f>
        <v>Date out of sequence</v>
      </c>
    </row>
    <row r="708" customFormat="false" ht="15" hidden="false" customHeight="false" outlineLevel="0" collapsed="false">
      <c r="A708" s="2" t="s">
        <v>1887</v>
      </c>
      <c r="B708" s="2" t="s">
        <v>1093</v>
      </c>
      <c r="C708" s="4" t="n">
        <v>46237</v>
      </c>
      <c r="D708" s="2" t="s">
        <v>1161</v>
      </c>
      <c r="E708" s="2" t="s">
        <v>1188</v>
      </c>
      <c r="F708" s="2"/>
      <c r="G708" s="4"/>
      <c r="H708" s="2" t="str">
        <f aca="false">IF(C708&gt;CRM_Dashboard!$B$3,"Future-dated",IF(AND(B708=B707,C708&lt;C707),"Date out of sequence",IF(AND(G708&lt;&gt;"",G708&lt;=C708),"Follow-up not after interaction","")))</f>
        <v/>
      </c>
    </row>
    <row r="709" customFormat="false" ht="15" hidden="false" customHeight="false" outlineLevel="0" collapsed="false">
      <c r="A709" s="2" t="s">
        <v>1888</v>
      </c>
      <c r="B709" s="2" t="s">
        <v>1093</v>
      </c>
      <c r="C709" s="4" t="n">
        <v>46237</v>
      </c>
      <c r="D709" s="2" t="s">
        <v>1161</v>
      </c>
      <c r="E709" s="2" t="s">
        <v>1173</v>
      </c>
      <c r="F709" s="2" t="s">
        <v>1195</v>
      </c>
      <c r="G709" s="4" t="n">
        <v>46242</v>
      </c>
      <c r="H709" s="2" t="str">
        <f aca="false">IF(C709&gt;CRM_Dashboard!$B$3,"Future-dated",IF(AND(B709=B708,C709&lt;C708),"Date out of sequence",IF(AND(G709&lt;&gt;"",G709&lt;=C709),"Follow-up not after interaction","")))</f>
        <v/>
      </c>
    </row>
    <row r="710" customFormat="false" ht="15" hidden="false" customHeight="false" outlineLevel="0" collapsed="false">
      <c r="A710" s="2" t="s">
        <v>1889</v>
      </c>
      <c r="B710" s="2" t="s">
        <v>1096</v>
      </c>
      <c r="C710" s="4" t="n">
        <v>46274</v>
      </c>
      <c r="D710" s="2" t="s">
        <v>1161</v>
      </c>
      <c r="E710" s="2" t="s">
        <v>1176</v>
      </c>
      <c r="F710" s="2"/>
      <c r="G710" s="4"/>
      <c r="H710" s="2" t="str">
        <f aca="false">IF(C710&gt;CRM_Dashboard!$B$3,"Future-dated",IF(AND(B710=B709,C710&lt;C709),"Date out of sequence",IF(AND(G710&lt;&gt;"",G710&lt;=C710),"Follow-up not after interaction","")))</f>
        <v/>
      </c>
    </row>
    <row r="711" customFormat="false" ht="15" hidden="false" customHeight="false" outlineLevel="0" collapsed="false">
      <c r="A711" s="2" t="s">
        <v>1890</v>
      </c>
      <c r="B711" s="2" t="s">
        <v>1096</v>
      </c>
      <c r="C711" s="4" t="n">
        <v>46272</v>
      </c>
      <c r="D711" s="2" t="s">
        <v>1161</v>
      </c>
      <c r="E711" s="2" t="s">
        <v>1188</v>
      </c>
      <c r="F711" s="2"/>
      <c r="G711" s="4"/>
      <c r="H711" s="2" t="str">
        <f aca="false">IF(C711&gt;CRM_Dashboard!$B$3,"Future-dated",IF(AND(B711=B710,C711&lt;C710),"Date out of sequence",IF(AND(G711&lt;&gt;"",G711&lt;=C711),"Follow-up not after interaction","")))</f>
        <v>Date out of sequence</v>
      </c>
    </row>
    <row r="712" customFormat="false" ht="15" hidden="false" customHeight="false" outlineLevel="0" collapsed="false">
      <c r="A712" s="2" t="s">
        <v>1891</v>
      </c>
      <c r="B712" s="2" t="s">
        <v>1096</v>
      </c>
      <c r="C712" s="4" t="n">
        <v>46276</v>
      </c>
      <c r="D712" s="2" t="s">
        <v>1161</v>
      </c>
      <c r="E712" s="2" t="s">
        <v>1162</v>
      </c>
      <c r="F712" s="2" t="s">
        <v>1209</v>
      </c>
      <c r="G712" s="4"/>
      <c r="H712" s="2" t="str">
        <f aca="false">IF(C712&gt;CRM_Dashboard!$B$3,"Future-dated",IF(AND(B712=B711,C712&lt;C711),"Date out of sequence",IF(AND(G712&lt;&gt;"",G712&lt;=C712),"Follow-up not after interaction","")))</f>
        <v/>
      </c>
    </row>
    <row r="713" customFormat="false" ht="15" hidden="false" customHeight="false" outlineLevel="0" collapsed="false">
      <c r="A713" s="2" t="s">
        <v>1892</v>
      </c>
      <c r="B713" s="2" t="s">
        <v>1100</v>
      </c>
      <c r="C713" s="4" t="n">
        <v>46221</v>
      </c>
      <c r="D713" s="2" t="s">
        <v>1161</v>
      </c>
      <c r="E713" s="2" t="s">
        <v>1188</v>
      </c>
      <c r="F713" s="2"/>
      <c r="G713" s="4"/>
      <c r="H713" s="2" t="str">
        <f aca="false">IF(C713&gt;CRM_Dashboard!$B$3,"Future-dated",IF(AND(B713=B712,C713&lt;C712),"Date out of sequence",IF(AND(G713&lt;&gt;"",G713&lt;=C713),"Follow-up not after interaction","")))</f>
        <v/>
      </c>
    </row>
    <row r="714" customFormat="false" ht="15" hidden="false" customHeight="false" outlineLevel="0" collapsed="false">
      <c r="A714" s="2" t="s">
        <v>1893</v>
      </c>
      <c r="B714" s="2" t="s">
        <v>1100</v>
      </c>
      <c r="C714" s="4" t="n">
        <v>46226</v>
      </c>
      <c r="D714" s="2" t="s">
        <v>1161</v>
      </c>
      <c r="E714" s="2" t="s">
        <v>1167</v>
      </c>
      <c r="F714" s="2" t="s">
        <v>1195</v>
      </c>
      <c r="G714" s="4" t="n">
        <v>46226</v>
      </c>
      <c r="H714" s="2" t="str">
        <f aca="false">IF(C714&gt;CRM_Dashboard!$B$3,"Future-dated",IF(AND(B714=B713,C714&lt;C713),"Date out of sequence",IF(AND(G714&lt;&gt;"",G714&lt;=C714),"Follow-up not after interaction","")))</f>
        <v>Follow-up not after interaction</v>
      </c>
    </row>
    <row r="715" customFormat="false" ht="15" hidden="false" customHeight="false" outlineLevel="0" collapsed="false">
      <c r="A715" s="2" t="s">
        <v>1894</v>
      </c>
      <c r="B715" s="2" t="s">
        <v>1103</v>
      </c>
      <c r="C715" s="4" t="n">
        <v>46283</v>
      </c>
      <c r="D715" s="2" t="s">
        <v>1161</v>
      </c>
      <c r="E715" s="2" t="s">
        <v>1185</v>
      </c>
      <c r="F715" s="2" t="s">
        <v>1165</v>
      </c>
      <c r="G715" s="4"/>
      <c r="H715" s="2" t="str">
        <f aca="false">IF(C715&gt;CRM_Dashboard!$B$3,"Future-dated",IF(AND(B715=B714,C715&lt;C714),"Date out of sequence",IF(AND(G715&lt;&gt;"",G715&lt;=C715),"Follow-up not after interaction","")))</f>
        <v/>
      </c>
    </row>
    <row r="716" customFormat="false" ht="15" hidden="false" customHeight="false" outlineLevel="0" collapsed="false">
      <c r="A716" s="2" t="s">
        <v>1895</v>
      </c>
      <c r="B716" s="2" t="s">
        <v>1107</v>
      </c>
      <c r="C716" s="4" t="n">
        <v>46253</v>
      </c>
      <c r="D716" s="2" t="s">
        <v>1161</v>
      </c>
      <c r="E716" s="2" t="s">
        <v>1176</v>
      </c>
      <c r="F716" s="2" t="s">
        <v>1165</v>
      </c>
      <c r="G716" s="4" t="n">
        <v>46255</v>
      </c>
      <c r="H716" s="2" t="str">
        <f aca="false">IF(C716&gt;CRM_Dashboard!$B$3,"Future-dated",IF(AND(B716=B715,C716&lt;C715),"Date out of sequence",IF(AND(G716&lt;&gt;"",G716&lt;=C716),"Follow-up not after interaction","")))</f>
        <v/>
      </c>
    </row>
    <row r="717" customFormat="false" ht="15" hidden="false" customHeight="false" outlineLevel="0" collapsed="false">
      <c r="A717" s="2" t="s">
        <v>1896</v>
      </c>
      <c r="B717" s="2" t="s">
        <v>1111</v>
      </c>
      <c r="C717" s="4" t="n">
        <v>46241</v>
      </c>
      <c r="D717" s="2" t="s">
        <v>1161</v>
      </c>
      <c r="E717" s="2" t="s">
        <v>1176</v>
      </c>
      <c r="F717" s="2"/>
      <c r="G717" s="4"/>
      <c r="H717" s="2" t="str">
        <f aca="false">IF(C717&gt;CRM_Dashboard!$B$3,"Future-dated",IF(AND(B717=B716,C717&lt;C716),"Date out of sequence",IF(AND(G717&lt;&gt;"",G717&lt;=C717),"Follow-up not after interaction","")))</f>
        <v/>
      </c>
    </row>
    <row r="718" customFormat="false" ht="15" hidden="false" customHeight="false" outlineLevel="0" collapsed="false">
      <c r="A718" s="2" t="s">
        <v>1897</v>
      </c>
      <c r="B718" s="2" t="s">
        <v>1111</v>
      </c>
      <c r="C718" s="4" t="n">
        <v>46244</v>
      </c>
      <c r="D718" s="2" t="s">
        <v>1161</v>
      </c>
      <c r="E718" s="2" t="s">
        <v>1205</v>
      </c>
      <c r="F718" s="2" t="s">
        <v>1174</v>
      </c>
      <c r="G718" s="4"/>
      <c r="H718" s="2" t="str">
        <f aca="false">IF(C718&gt;CRM_Dashboard!$B$3,"Future-dated",IF(AND(B718=B717,C718&lt;C717),"Date out of sequence",IF(AND(G718&lt;&gt;"",G718&lt;=C718),"Follow-up not after interaction","")))</f>
        <v/>
      </c>
    </row>
    <row r="719" customFormat="false" ht="15" hidden="false" customHeight="false" outlineLevel="0" collapsed="false">
      <c r="A719" s="2" t="s">
        <v>1898</v>
      </c>
      <c r="B719" s="2" t="s">
        <v>1114</v>
      </c>
      <c r="C719" s="4" t="n">
        <v>46230</v>
      </c>
      <c r="D719" s="2" t="s">
        <v>1161</v>
      </c>
      <c r="E719" s="2" t="s">
        <v>1252</v>
      </c>
      <c r="F719" s="2"/>
      <c r="G719" s="4"/>
      <c r="H719" s="2" t="str">
        <f aca="false">IF(C719&gt;CRM_Dashboard!$B$3,"Future-dated",IF(AND(B719=B718,C719&lt;C718),"Date out of sequence",IF(AND(G719&lt;&gt;"",G719&lt;=C719),"Follow-up not after interaction","")))</f>
        <v/>
      </c>
    </row>
    <row r="720" customFormat="false" ht="15" hidden="false" customHeight="false" outlineLevel="0" collapsed="false">
      <c r="A720" s="2" t="s">
        <v>1899</v>
      </c>
      <c r="B720" s="2" t="s">
        <v>1114</v>
      </c>
      <c r="C720" s="4" t="n">
        <v>46229</v>
      </c>
      <c r="D720" s="2" t="s">
        <v>1161</v>
      </c>
      <c r="E720" s="2" t="s">
        <v>1171</v>
      </c>
      <c r="F720" s="2"/>
      <c r="G720" s="4"/>
      <c r="H720" s="2" t="str">
        <f aca="false">IF(C720&gt;CRM_Dashboard!$B$3,"Future-dated",IF(AND(B720=B719,C720&lt;C719),"Date out of sequence",IF(AND(G720&lt;&gt;"",G720&lt;=C720),"Follow-up not after interaction","")))</f>
        <v>Date out of sequence</v>
      </c>
    </row>
    <row r="721" customFormat="false" ht="15" hidden="false" customHeight="false" outlineLevel="0" collapsed="false">
      <c r="A721" s="2" t="s">
        <v>1900</v>
      </c>
      <c r="B721" s="2" t="s">
        <v>1114</v>
      </c>
      <c r="C721" s="4" t="n">
        <v>46232</v>
      </c>
      <c r="D721" s="2" t="s">
        <v>1161</v>
      </c>
      <c r="E721" s="2" t="s">
        <v>1173</v>
      </c>
      <c r="F721" s="2" t="s">
        <v>1183</v>
      </c>
      <c r="G721" s="4" t="n">
        <v>46232</v>
      </c>
      <c r="H721" s="2" t="str">
        <f aca="false">IF(C721&gt;CRM_Dashboard!$B$3,"Future-dated",IF(AND(B721=B720,C721&lt;C720),"Date out of sequence",IF(AND(G721&lt;&gt;"",G721&lt;=C721),"Follow-up not after interaction","")))</f>
        <v>Follow-up not after interaction</v>
      </c>
    </row>
    <row r="722" customFormat="false" ht="15" hidden="false" customHeight="false" outlineLevel="0" collapsed="false">
      <c r="A722" s="2" t="s">
        <v>1901</v>
      </c>
      <c r="B722" s="2" t="s">
        <v>1118</v>
      </c>
      <c r="C722" s="4" t="n">
        <v>46209</v>
      </c>
      <c r="D722" s="2" t="s">
        <v>1161</v>
      </c>
      <c r="E722" s="2" t="s">
        <v>1205</v>
      </c>
      <c r="F722" s="2" t="s">
        <v>1165</v>
      </c>
      <c r="G722" s="4"/>
      <c r="H722" s="2" t="str">
        <f aca="false">IF(C722&gt;CRM_Dashboard!$B$3,"Future-dated",IF(AND(B722=B721,C722&lt;C721),"Date out of sequence",IF(AND(G722&lt;&gt;"",G722&lt;=C722),"Follow-up not after interaction","")))</f>
        <v/>
      </c>
    </row>
    <row r="723" customFormat="false" ht="15" hidden="false" customHeight="false" outlineLevel="0" collapsed="false">
      <c r="A723" s="2" t="s">
        <v>1902</v>
      </c>
      <c r="B723" s="2" t="s">
        <v>1122</v>
      </c>
      <c r="C723" s="4" t="n">
        <v>46219</v>
      </c>
      <c r="D723" s="2" t="s">
        <v>1161</v>
      </c>
      <c r="E723" s="2" t="s">
        <v>1167</v>
      </c>
      <c r="F723" s="2"/>
      <c r="G723" s="4"/>
      <c r="H723" s="2" t="str">
        <f aca="false">IF(C723&gt;CRM_Dashboard!$B$3,"Future-dated",IF(AND(B723=B722,C723&lt;C722),"Date out of sequence",IF(AND(G723&lt;&gt;"",G723&lt;=C723),"Follow-up not after interaction","")))</f>
        <v/>
      </c>
    </row>
    <row r="724" customFormat="false" ht="15" hidden="false" customHeight="false" outlineLevel="0" collapsed="false">
      <c r="A724" s="2" t="s">
        <v>1903</v>
      </c>
      <c r="B724" s="2" t="s">
        <v>1122</v>
      </c>
      <c r="C724" s="4" t="n">
        <v>46222</v>
      </c>
      <c r="D724" s="2" t="s">
        <v>1161</v>
      </c>
      <c r="E724" s="2" t="s">
        <v>1176</v>
      </c>
      <c r="F724" s="2"/>
      <c r="G724" s="4"/>
      <c r="H724" s="2" t="str">
        <f aca="false">IF(C724&gt;CRM_Dashboard!$B$3,"Future-dated",IF(AND(B724=B723,C724&lt;C723),"Date out of sequence",IF(AND(G724&lt;&gt;"",G724&lt;=C724),"Follow-up not after interaction","")))</f>
        <v/>
      </c>
    </row>
    <row r="725" customFormat="false" ht="15" hidden="false" customHeight="false" outlineLevel="0" collapsed="false">
      <c r="A725" s="2" t="s">
        <v>1904</v>
      </c>
      <c r="B725" s="2" t="s">
        <v>1122</v>
      </c>
      <c r="C725" s="4" t="n">
        <v>46221</v>
      </c>
      <c r="D725" s="2" t="s">
        <v>1161</v>
      </c>
      <c r="E725" s="2" t="s">
        <v>1171</v>
      </c>
      <c r="F725" s="2" t="s">
        <v>1195</v>
      </c>
      <c r="G725" s="4"/>
      <c r="H725" s="2" t="str">
        <f aca="false">IF(C725&gt;CRM_Dashboard!$B$3,"Future-dated",IF(AND(B725=B724,C725&lt;C724),"Date out of sequence",IF(AND(G725&lt;&gt;"",G725&lt;=C725),"Follow-up not after interaction","")))</f>
        <v>Date out of sequence</v>
      </c>
    </row>
    <row r="726" customFormat="false" ht="15" hidden="false" customHeight="false" outlineLevel="0" collapsed="false">
      <c r="A726" s="2" t="s">
        <v>1905</v>
      </c>
      <c r="B726" s="2" t="s">
        <v>1126</v>
      </c>
      <c r="C726" s="4" t="n">
        <v>46294</v>
      </c>
      <c r="D726" s="2" t="s">
        <v>1161</v>
      </c>
      <c r="E726" s="2" t="s">
        <v>1176</v>
      </c>
      <c r="F726" s="2"/>
      <c r="G726" s="4"/>
      <c r="H726" s="2" t="str">
        <f aca="false">IF(C726&gt;CRM_Dashboard!$B$3,"Future-dated",IF(AND(B726=B725,C726&lt;C725),"Date out of sequence",IF(AND(G726&lt;&gt;"",G726&lt;=C726),"Follow-up not after interaction","")))</f>
        <v/>
      </c>
    </row>
    <row r="727" customFormat="false" ht="15" hidden="false" customHeight="false" outlineLevel="0" collapsed="false">
      <c r="A727" s="2" t="s">
        <v>1906</v>
      </c>
      <c r="B727" s="2" t="s">
        <v>1126</v>
      </c>
      <c r="C727" s="4" t="n">
        <v>46294</v>
      </c>
      <c r="D727" s="2" t="s">
        <v>1161</v>
      </c>
      <c r="E727" s="2" t="s">
        <v>1162</v>
      </c>
      <c r="F727" s="2"/>
      <c r="G727" s="4"/>
      <c r="H727" s="2" t="str">
        <f aca="false">IF(C727&gt;CRM_Dashboard!$B$3,"Future-dated",IF(AND(B727=B726,C727&lt;C726),"Date out of sequence",IF(AND(G727&lt;&gt;"",G727&lt;=C727),"Follow-up not after interaction","")))</f>
        <v/>
      </c>
    </row>
    <row r="728" customFormat="false" ht="15" hidden="false" customHeight="false" outlineLevel="0" collapsed="false">
      <c r="A728" s="2" t="s">
        <v>1907</v>
      </c>
      <c r="B728" s="2" t="s">
        <v>1126</v>
      </c>
      <c r="C728" s="4" t="n">
        <v>46290</v>
      </c>
      <c r="D728" s="2" t="s">
        <v>1161</v>
      </c>
      <c r="E728" s="2" t="s">
        <v>1179</v>
      </c>
      <c r="F728" s="2" t="s">
        <v>1174</v>
      </c>
      <c r="G728" s="4"/>
      <c r="H728" s="2" t="str">
        <f aca="false">IF(C728&gt;CRM_Dashboard!$B$3,"Future-dated",IF(AND(B728=B727,C728&lt;C727),"Date out of sequence",IF(AND(G728&lt;&gt;"",G728&lt;=C728),"Follow-up not after interaction","")))</f>
        <v>Date out of sequence</v>
      </c>
    </row>
    <row r="729" customFormat="false" ht="15" hidden="false" customHeight="false" outlineLevel="0" collapsed="false">
      <c r="A729" s="2" t="s">
        <v>1908</v>
      </c>
      <c r="B729" s="2" t="s">
        <v>1129</v>
      </c>
      <c r="C729" s="4" t="n">
        <v>46216</v>
      </c>
      <c r="D729" s="2" t="s">
        <v>1161</v>
      </c>
      <c r="E729" s="2" t="s">
        <v>1252</v>
      </c>
      <c r="F729" s="2"/>
      <c r="G729" s="4"/>
      <c r="H729" s="2" t="str">
        <f aca="false">IF(C729&gt;CRM_Dashboard!$B$3,"Future-dated",IF(AND(B729=B728,C729&lt;C728),"Date out of sequence",IF(AND(G729&lt;&gt;"",G729&lt;=C729),"Follow-up not after interaction","")))</f>
        <v/>
      </c>
    </row>
    <row r="730" customFormat="false" ht="15" hidden="false" customHeight="false" outlineLevel="0" collapsed="false">
      <c r="A730" s="2" t="s">
        <v>1909</v>
      </c>
      <c r="B730" s="2" t="s">
        <v>1129</v>
      </c>
      <c r="C730" s="4" t="n">
        <v>46218</v>
      </c>
      <c r="D730" s="2" t="s">
        <v>1161</v>
      </c>
      <c r="E730" s="2" t="s">
        <v>1162</v>
      </c>
      <c r="F730" s="2"/>
      <c r="G730" s="4"/>
      <c r="H730" s="2" t="str">
        <f aca="false">IF(C730&gt;CRM_Dashboard!$B$3,"Future-dated",IF(AND(B730=B729,C730&lt;C729),"Date out of sequence",IF(AND(G730&lt;&gt;"",G730&lt;=C730),"Follow-up not after interaction","")))</f>
        <v/>
      </c>
    </row>
    <row r="731" customFormat="false" ht="15" hidden="false" customHeight="false" outlineLevel="0" collapsed="false">
      <c r="A731" s="2" t="s">
        <v>1910</v>
      </c>
      <c r="B731" s="2" t="s">
        <v>1129</v>
      </c>
      <c r="C731" s="4" t="n">
        <v>46215</v>
      </c>
      <c r="D731" s="2" t="s">
        <v>1161</v>
      </c>
      <c r="E731" s="2" t="s">
        <v>1176</v>
      </c>
      <c r="F731" s="2" t="s">
        <v>1168</v>
      </c>
      <c r="G731" s="4" t="n">
        <v>46220</v>
      </c>
      <c r="H731" s="2" t="str">
        <f aca="false">IF(C731&gt;CRM_Dashboard!$B$3,"Future-dated",IF(AND(B731=B730,C731&lt;C730),"Date out of sequence",IF(AND(G731&lt;&gt;"",G731&lt;=C731),"Follow-up not after interaction","")))</f>
        <v>Date out of sequence</v>
      </c>
    </row>
    <row r="732" customFormat="false" ht="15" hidden="false" customHeight="false" outlineLevel="0" collapsed="false">
      <c r="A732" s="2" t="s">
        <v>1911</v>
      </c>
      <c r="B732" s="2" t="s">
        <v>1133</v>
      </c>
      <c r="C732" s="4" t="n">
        <v>46293</v>
      </c>
      <c r="D732" s="2" t="s">
        <v>1235</v>
      </c>
      <c r="E732" s="2" t="s">
        <v>1236</v>
      </c>
      <c r="F732" s="2" t="s">
        <v>1203</v>
      </c>
      <c r="G732" s="4" t="n">
        <v>46295</v>
      </c>
      <c r="H732" s="2" t="str">
        <f aca="false">IF(C732&gt;CRM_Dashboard!$B$3,"Future-dated",IF(AND(B732=B731,C732&lt;C731),"Date out of sequence",IF(AND(G732&lt;&gt;"",G732&lt;=C732),"Follow-up not after interaction","")))</f>
        <v/>
      </c>
    </row>
    <row r="733" customFormat="false" ht="15" hidden="false" customHeight="false" outlineLevel="0" collapsed="false">
      <c r="A733" s="2" t="s">
        <v>1912</v>
      </c>
      <c r="B733" s="2" t="s">
        <v>1137</v>
      </c>
      <c r="C733" s="4" t="n">
        <v>46283</v>
      </c>
      <c r="D733" s="2" t="s">
        <v>1161</v>
      </c>
      <c r="E733" s="2" t="s">
        <v>1179</v>
      </c>
      <c r="F733" s="2" t="s">
        <v>1174</v>
      </c>
      <c r="G733" s="4"/>
      <c r="H733" s="2" t="str">
        <f aca="false">IF(C733&gt;CRM_Dashboard!$B$3,"Future-dated",IF(AND(B733=B732,C733&lt;C732),"Date out of sequence",IF(AND(G733&lt;&gt;"",G733&lt;=C733),"Follow-up not after interaction","")))</f>
        <v/>
      </c>
    </row>
    <row r="734" customFormat="false" ht="15" hidden="false" customHeight="false" outlineLevel="0" collapsed="false">
      <c r="A734" s="2" t="s">
        <v>1913</v>
      </c>
      <c r="B734" s="2" t="s">
        <v>1140</v>
      </c>
      <c r="C734" s="4" t="n">
        <v>46240</v>
      </c>
      <c r="D734" s="2" t="s">
        <v>1161</v>
      </c>
      <c r="E734" s="2" t="s">
        <v>1162</v>
      </c>
      <c r="F734" s="2"/>
      <c r="G734" s="4"/>
      <c r="H734" s="2" t="str">
        <f aca="false">IF(C734&gt;CRM_Dashboard!$B$3,"Future-dated",IF(AND(B734=B733,C734&lt;C733),"Date out of sequence",IF(AND(G734&lt;&gt;"",G734&lt;=C734),"Follow-up not after interaction","")))</f>
        <v/>
      </c>
    </row>
    <row r="735" customFormat="false" ht="15" hidden="false" customHeight="false" outlineLevel="0" collapsed="false">
      <c r="A735" s="2" t="s">
        <v>1914</v>
      </c>
      <c r="B735" s="2" t="s">
        <v>1140</v>
      </c>
      <c r="C735" s="4" t="n">
        <v>46241</v>
      </c>
      <c r="D735" s="2" t="s">
        <v>1161</v>
      </c>
      <c r="E735" s="2" t="s">
        <v>1179</v>
      </c>
      <c r="F735" s="2"/>
      <c r="G735" s="4"/>
      <c r="H735" s="2" t="str">
        <f aca="false">IF(C735&gt;CRM_Dashboard!$B$3,"Future-dated",IF(AND(B735=B734,C735&lt;C734),"Date out of sequence",IF(AND(G735&lt;&gt;"",G735&lt;=C735),"Follow-up not after interaction","")))</f>
        <v/>
      </c>
    </row>
    <row r="736" customFormat="false" ht="15" hidden="false" customHeight="false" outlineLevel="0" collapsed="false">
      <c r="A736" s="2" t="s">
        <v>1915</v>
      </c>
      <c r="B736" s="2" t="s">
        <v>1140</v>
      </c>
      <c r="C736" s="4" t="n">
        <v>46243</v>
      </c>
      <c r="D736" s="2" t="s">
        <v>1161</v>
      </c>
      <c r="E736" s="2" t="s">
        <v>1176</v>
      </c>
      <c r="F736" s="2" t="s">
        <v>1165</v>
      </c>
      <c r="G736" s="4" t="n">
        <v>46247</v>
      </c>
      <c r="H736" s="2" t="str">
        <f aca="false">IF(C736&gt;CRM_Dashboard!$B$3,"Future-dated",IF(AND(B736=B735,C736&lt;C735),"Date out of sequence",IF(AND(G736&lt;&gt;"",G736&lt;=C736),"Follow-up not after interaction","")))</f>
        <v/>
      </c>
    </row>
    <row r="737" customFormat="false" ht="15" hidden="false" customHeight="false" outlineLevel="0" collapsed="false">
      <c r="A737" s="2" t="s">
        <v>1916</v>
      </c>
      <c r="B737" s="2" t="s">
        <v>1144</v>
      </c>
      <c r="C737" s="4" t="n">
        <v>46235</v>
      </c>
      <c r="D737" s="2" t="s">
        <v>1161</v>
      </c>
      <c r="E737" s="2" t="s">
        <v>1173</v>
      </c>
      <c r="F737" s="2"/>
      <c r="G737" s="4"/>
      <c r="H737" s="2" t="str">
        <f aca="false">IF(C737&gt;CRM_Dashboard!$B$3,"Future-dated",IF(AND(B737=B736,C737&lt;C736),"Date out of sequence",IF(AND(G737&lt;&gt;"",G737&lt;=C737),"Follow-up not after interaction","")))</f>
        <v/>
      </c>
    </row>
    <row r="738" customFormat="false" ht="15" hidden="false" customHeight="false" outlineLevel="0" collapsed="false">
      <c r="A738" s="2" t="s">
        <v>1917</v>
      </c>
      <c r="B738" s="2" t="s">
        <v>1144</v>
      </c>
      <c r="C738" s="4" t="n">
        <v>46235</v>
      </c>
      <c r="D738" s="2" t="s">
        <v>1161</v>
      </c>
      <c r="E738" s="2" t="s">
        <v>1167</v>
      </c>
      <c r="F738" s="2"/>
      <c r="G738" s="4"/>
      <c r="H738" s="2" t="str">
        <f aca="false">IF(C738&gt;CRM_Dashboard!$B$3,"Future-dated",IF(AND(B738=B737,C738&lt;C737),"Date out of sequence",IF(AND(G738&lt;&gt;"",G738&lt;=C738),"Follow-up not after interaction","")))</f>
        <v/>
      </c>
    </row>
    <row r="739" customFormat="false" ht="15" hidden="false" customHeight="false" outlineLevel="0" collapsed="false">
      <c r="A739" s="2" t="s">
        <v>1918</v>
      </c>
      <c r="B739" s="2" t="s">
        <v>1144</v>
      </c>
      <c r="C739" s="4" t="n">
        <v>46239</v>
      </c>
      <c r="D739" s="2" t="s">
        <v>1161</v>
      </c>
      <c r="E739" s="2" t="s">
        <v>1176</v>
      </c>
      <c r="F739" s="2"/>
      <c r="G739" s="4"/>
      <c r="H739" s="2" t="str">
        <f aca="false">IF(C739&gt;CRM_Dashboard!$B$3,"Future-dated",IF(AND(B739=B738,C739&lt;C738),"Date out of sequence",IF(AND(G739&lt;&gt;"",G739&lt;=C739),"Follow-up not after interaction","")))</f>
        <v/>
      </c>
    </row>
    <row r="740" customFormat="false" ht="15" hidden="false" customHeight="false" outlineLevel="0" collapsed="false">
      <c r="A740" s="2" t="s">
        <v>1919</v>
      </c>
      <c r="B740" s="2" t="s">
        <v>1144</v>
      </c>
      <c r="C740" s="4" t="n">
        <v>46238</v>
      </c>
      <c r="D740" s="2" t="s">
        <v>1161</v>
      </c>
      <c r="E740" s="2" t="s">
        <v>1252</v>
      </c>
      <c r="F740" s="2" t="s">
        <v>1174</v>
      </c>
      <c r="G740" s="4"/>
      <c r="H740" s="2" t="str">
        <f aca="false">IF(C740&gt;CRM_Dashboard!$B$3,"Future-dated",IF(AND(B740=B739,C740&lt;C739),"Date out of sequence",IF(AND(G740&lt;&gt;"",G740&lt;=C740),"Follow-up not after interaction","")))</f>
        <v>Date out of sequence</v>
      </c>
    </row>
    <row r="741" customFormat="false" ht="15" hidden="false" customHeight="false" outlineLevel="0" collapsed="false">
      <c r="A741" s="2" t="s">
        <v>1920</v>
      </c>
      <c r="B741" s="2" t="s">
        <v>1147</v>
      </c>
      <c r="C741" s="4" t="n">
        <v>46215</v>
      </c>
      <c r="D741" s="2" t="s">
        <v>1161</v>
      </c>
      <c r="E741" s="2" t="s">
        <v>1173</v>
      </c>
      <c r="F741" s="2"/>
      <c r="G741" s="4"/>
      <c r="H741" s="2" t="str">
        <f aca="false">IF(C741&gt;CRM_Dashboard!$B$3,"Future-dated",IF(AND(B741=B740,C741&lt;C740),"Date out of sequence",IF(AND(G741&lt;&gt;"",G741&lt;=C741),"Follow-up not after interaction","")))</f>
        <v/>
      </c>
    </row>
    <row r="742" customFormat="false" ht="15" hidden="false" customHeight="false" outlineLevel="0" collapsed="false">
      <c r="A742" s="2" t="s">
        <v>1921</v>
      </c>
      <c r="B742" s="2" t="s">
        <v>1147</v>
      </c>
      <c r="C742" s="4" t="n">
        <v>46213</v>
      </c>
      <c r="D742" s="2" t="s">
        <v>1161</v>
      </c>
      <c r="E742" s="2" t="s">
        <v>1173</v>
      </c>
      <c r="F742" s="2"/>
      <c r="G742" s="4"/>
      <c r="H742" s="2" t="str">
        <f aca="false">IF(C742&gt;CRM_Dashboard!$B$3,"Future-dated",IF(AND(B742=B741,C742&lt;C741),"Date out of sequence",IF(AND(G742&lt;&gt;"",G742&lt;=C742),"Follow-up not after interaction","")))</f>
        <v>Date out of sequence</v>
      </c>
    </row>
    <row r="743" customFormat="false" ht="15" hidden="false" customHeight="false" outlineLevel="0" collapsed="false">
      <c r="A743" s="2" t="s">
        <v>1922</v>
      </c>
      <c r="B743" s="2" t="s">
        <v>1147</v>
      </c>
      <c r="C743" s="4" t="n">
        <v>46213</v>
      </c>
      <c r="D743" s="2" t="s">
        <v>1161</v>
      </c>
      <c r="E743" s="2" t="s">
        <v>1162</v>
      </c>
      <c r="F743" s="2"/>
      <c r="G743" s="4"/>
      <c r="H743" s="2" t="str">
        <f aca="false">IF(C743&gt;CRM_Dashboard!$B$3,"Future-dated",IF(AND(B743=B742,C743&lt;C742),"Date out of sequence",IF(AND(G743&lt;&gt;"",G743&lt;=C743),"Follow-up not after interaction","")))</f>
        <v/>
      </c>
    </row>
    <row r="744" customFormat="false" ht="15" hidden="false" customHeight="false" outlineLevel="0" collapsed="false">
      <c r="A744" s="2" t="s">
        <v>1923</v>
      </c>
      <c r="B744" s="2" t="s">
        <v>1147</v>
      </c>
      <c r="C744" s="4" t="n">
        <v>46219</v>
      </c>
      <c r="D744" s="2" t="s">
        <v>1161</v>
      </c>
      <c r="E744" s="2" t="s">
        <v>1176</v>
      </c>
      <c r="F744" s="2" t="s">
        <v>1174</v>
      </c>
      <c r="G744" s="4" t="n">
        <v>46220</v>
      </c>
      <c r="H744" s="2" t="str">
        <f aca="false">IF(C744&gt;CRM_Dashboard!$B$3,"Future-dated",IF(AND(B744=B743,C744&lt;C743),"Date out of sequence",IF(AND(G744&lt;&gt;"",G744&lt;=C744),"Follow-up not after interaction","")))</f>
        <v/>
      </c>
    </row>
    <row r="745" customFormat="false" ht="15" hidden="false" customHeight="false" outlineLevel="0" collapsed="false">
      <c r="A745" s="2" t="s">
        <v>1924</v>
      </c>
      <c r="B745" s="2" t="s">
        <v>1150</v>
      </c>
      <c r="C745" s="4" t="n">
        <v>46270</v>
      </c>
      <c r="D745" s="2" t="s">
        <v>1161</v>
      </c>
      <c r="E745" s="2" t="s">
        <v>1173</v>
      </c>
      <c r="F745" s="2"/>
      <c r="G745" s="4"/>
      <c r="H745" s="2" t="str">
        <f aca="false">IF(C745&gt;CRM_Dashboard!$B$3,"Future-dated",IF(AND(B745=B744,C745&lt;C744),"Date out of sequence",IF(AND(G745&lt;&gt;"",G745&lt;=C745),"Follow-up not after interaction","")))</f>
        <v/>
      </c>
    </row>
    <row r="746" customFormat="false" ht="15" hidden="false" customHeight="false" outlineLevel="0" collapsed="false">
      <c r="A746" s="2" t="s">
        <v>1925</v>
      </c>
      <c r="B746" s="2" t="s">
        <v>1150</v>
      </c>
      <c r="C746" s="4" t="n">
        <v>46271</v>
      </c>
      <c r="D746" s="2" t="s">
        <v>1235</v>
      </c>
      <c r="E746" s="2" t="s">
        <v>1236</v>
      </c>
      <c r="F746" s="2"/>
      <c r="G746" s="4"/>
      <c r="H746" s="2" t="str">
        <f aca="false">IF(C746&gt;CRM_Dashboard!$B$3,"Future-dated",IF(AND(B746=B745,C746&lt;C745),"Date out of sequence",IF(AND(G746&lt;&gt;"",G746&lt;=C746),"Follow-up not after interaction","")))</f>
        <v/>
      </c>
    </row>
    <row r="747" customFormat="false" ht="15" hidden="false" customHeight="false" outlineLevel="0" collapsed="false">
      <c r="A747" s="2" t="s">
        <v>1926</v>
      </c>
      <c r="B747" s="2" t="s">
        <v>1150</v>
      </c>
      <c r="C747" s="4" t="n">
        <v>46275</v>
      </c>
      <c r="D747" s="2" t="s">
        <v>1161</v>
      </c>
      <c r="E747" s="2" t="s">
        <v>1188</v>
      </c>
      <c r="F747" s="2"/>
      <c r="G747" s="4"/>
      <c r="H747" s="2" t="str">
        <f aca="false">IF(C747&gt;CRM_Dashboard!$B$3,"Future-dated",IF(AND(B747=B746,C747&lt;C746),"Date out of sequence",IF(AND(G747&lt;&gt;"",G747&lt;=C747),"Follow-up not after interaction","")))</f>
        <v/>
      </c>
    </row>
    <row r="748" customFormat="false" ht="15" hidden="false" customHeight="false" outlineLevel="0" collapsed="false">
      <c r="A748" s="2" t="s">
        <v>1927</v>
      </c>
      <c r="B748" s="2" t="s">
        <v>1150</v>
      </c>
      <c r="C748" s="4" t="n">
        <v>46271</v>
      </c>
      <c r="D748" s="2" t="s">
        <v>1161</v>
      </c>
      <c r="E748" s="2" t="s">
        <v>1162</v>
      </c>
      <c r="F748" s="2" t="s">
        <v>1195</v>
      </c>
      <c r="G748" s="4"/>
      <c r="H748" s="2" t="str">
        <f aca="false">IF(C748&gt;CRM_Dashboard!$B$3,"Future-dated",IF(AND(B748=B747,C748&lt;C747),"Date out of sequence",IF(AND(G748&lt;&gt;"",G748&lt;=C748),"Follow-up not after interaction","")))</f>
        <v>Date out of sequence</v>
      </c>
    </row>
  </sheetData>
  <autoFilter ref="A1:H748"/>
  <conditionalFormatting sqref="H2:H748">
    <cfRule type="expression" priority="2" aboveAverage="0" equalAverage="0" bottom="0" percent="0" rank="0" text="" dxfId="4">
      <formula>LEN($H2)&gt;0</formula>
    </cfRule>
  </conditionalFormatting>
  <dataValidations count="2">
    <dataValidation allowBlank="true" errorStyle="stop" operator="between" showDropDown="false" showErrorMessage="false" showInputMessage="false" sqref="E2:E1248" type="list">
      <formula1>Lists!$A$2:$A$12</formula1>
      <formula2>0</formula2>
    </dataValidation>
    <dataValidation allowBlank="true" errorStyle="stop" operator="between" showDropDown="false" showErrorMessage="false" showInputMessage="false" sqref="D2:D1248" type="list">
      <formula1>"Call,Message,WhatsApp,Email"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5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1928</v>
      </c>
      <c r="D1" s="1" t="s">
        <v>1929</v>
      </c>
      <c r="E1" s="1" t="s">
        <v>1158</v>
      </c>
      <c r="F1" s="1" t="s">
        <v>1930</v>
      </c>
      <c r="G1" s="1" t="s">
        <v>1931</v>
      </c>
      <c r="H1" s="1" t="s">
        <v>1932</v>
      </c>
      <c r="I1" s="1" t="s">
        <v>1933</v>
      </c>
      <c r="J1" s="1" t="s">
        <v>1934</v>
      </c>
      <c r="K1" s="1" t="s">
        <v>1935</v>
      </c>
    </row>
    <row r="2" customFormat="false" ht="15" hidden="false" customHeight="false" outlineLevel="0" collapsed="false">
      <c r="A2" s="2" t="s">
        <v>10</v>
      </c>
      <c r="B2" s="2" t="str">
        <f aca="false">IFERROR(INDEX(Lead_Master!$B$2:$B$1000,MATCH($A2,Lead_Master!$A$2:$A$1000,0)),"")</f>
        <v>Shreya Verma</v>
      </c>
      <c r="C2" s="2" t="str">
        <f aca="false">IFERROR(LOOKUP(2,1/(Interaction_Log!$B$2:$B$3000=$A2),Interaction_Log!$E$2:$E$3000),"No contact")</f>
        <v>DNP</v>
      </c>
      <c r="D2" s="5" t="str">
        <f aca="false">IFERROR(INDEX(Lists!$B$2:$B$12,MATCH($C2,Lists!$A$2:$A$12,0)),"Unmapped")</f>
        <v>Pending</v>
      </c>
      <c r="E2" s="4" t="str">
        <f aca="false">IFERROR(LOOKUP(2,1/((Interaction_Log!$B$2:$B$3000=$A2)*(Interaction_Log!$G$2:$G$3000&lt;&gt;"")),Interaction_Log!$G$2:$G$3000),"")</f>
        <v/>
      </c>
      <c r="F2" s="5" t="str">
        <f aca="false">IFERROR(INDEX(Lists!$C$2:$C$12,MATCH($C2,Lists!$A$2:$A$12,0)),"")</f>
        <v>Low</v>
      </c>
      <c r="G2" s="5" t="str">
        <f aca="false">IFERROR(INDEX(Lists!$D$2:$D$12,MATCH($C2,Lists!$A$2:$A$12,0)),"")</f>
        <v>Retry</v>
      </c>
      <c r="H2" s="5" t="str">
        <f aca="false">IF(OR($D2="Converted",$D2="Closed"),"—",IF($E2="","Not Scheduled",IF($E2&lt;CRM_Dashboard!$B$3,"Overdue",IF($E2=CRM_Dashboard!$B$3,"Due Today","Upcoming"))))</f>
        <v>Not Scheduled</v>
      </c>
      <c r="I2" s="5" t="n">
        <f aca="false">COUNTIF(Interaction_Log!$B$2:$B$3000,$A2)</f>
        <v>3</v>
      </c>
      <c r="J2" s="5" t="str">
        <f aca="false">IF(COUNTIFS(Interaction_Log!$B$2:$B$3000,$A2,Interaction_Log!$E$2:$E$3000,"Details Sent")&gt;0,"Yes","No")</f>
        <v>No</v>
      </c>
      <c r="K2" s="2" t="str">
        <f aca="false">IF(AND(COUNTIFS(Interaction_Log!$B$2:$B$3000,$A2,Interaction_Log!$E$2:$E$3000,"Paid")&gt;0,$C2&lt;&gt;"Paid"),"Paid then re-opened","")</f>
        <v/>
      </c>
    </row>
    <row r="3" customFormat="false" ht="15" hidden="false" customHeight="false" outlineLevel="0" collapsed="false">
      <c r="A3" s="2" t="s">
        <v>18</v>
      </c>
      <c r="B3" s="2" t="str">
        <f aca="false">IFERROR(INDEX(Lead_Master!$B$2:$B$1000,MATCH($A3,Lead_Master!$A$2:$A$1000,0)),"")</f>
        <v>Riya Gupta</v>
      </c>
      <c r="C3" s="2" t="str">
        <f aca="false">IFERROR(LOOKUP(2,1/(Interaction_Log!$B$2:$B$3000=$A3),Interaction_Log!$E$2:$E$3000),"No contact")</f>
        <v>Follow Up</v>
      </c>
      <c r="D3" s="5" t="str">
        <f aca="false">IFERROR(INDEX(Lists!$B$2:$B$12,MATCH($C3,Lists!$A$2:$A$12,0)),"Unmapped")</f>
        <v>Follow Up</v>
      </c>
      <c r="E3" s="4" t="n">
        <f aca="false">IFERROR(LOOKUP(2,1/((Interaction_Log!$B$2:$B$3000=$A3)*(Interaction_Log!$G$2:$G$3000&lt;&gt;"")),Interaction_Log!$G$2:$G$3000),"")</f>
        <v>46277</v>
      </c>
      <c r="F3" s="5" t="str">
        <f aca="false">IFERROR(INDEX(Lists!$C$2:$C$12,MATCH($C3,Lists!$A$2:$A$12,0)),"")</f>
        <v>High</v>
      </c>
      <c r="G3" s="5" t="str">
        <f aca="false">IFERROR(INDEX(Lists!$D$2:$D$12,MATCH($C3,Lists!$A$2:$A$12,0)),"")</f>
        <v>Call</v>
      </c>
      <c r="H3" s="5" t="str">
        <f aca="false">IF(OR($D3="Converted",$D3="Closed"),"—",IF($E3="","Not Scheduled",IF($E3&lt;CRM_Dashboard!$B$3,"Overdue",IF($E3=CRM_Dashboard!$B$3,"Due Today","Upcoming"))))</f>
        <v>Overdue</v>
      </c>
      <c r="I3" s="5" t="n">
        <f aca="false">COUNTIF(Interaction_Log!$B$2:$B$3000,$A3)</f>
        <v>1</v>
      </c>
      <c r="J3" s="5" t="str">
        <f aca="false">IF(COUNTIFS(Interaction_Log!$B$2:$B$3000,$A3,Interaction_Log!$E$2:$E$3000,"Details Sent")&gt;0,"Yes","No")</f>
        <v>No</v>
      </c>
      <c r="K3" s="2" t="str">
        <f aca="false">IF(AND(COUNTIFS(Interaction_Log!$B$2:$B$3000,$A3,Interaction_Log!$E$2:$E$3000,"Paid")&gt;0,$C3&lt;&gt;"Paid"),"Paid then re-opened","")</f>
        <v/>
      </c>
    </row>
    <row r="4" customFormat="false" ht="15" hidden="false" customHeight="false" outlineLevel="0" collapsed="false">
      <c r="A4" s="2" t="s">
        <v>25</v>
      </c>
      <c r="B4" s="2" t="str">
        <f aca="false">IFERROR(INDEX(Lead_Master!$B$2:$B$1000,MATCH($A4,Lead_Master!$A$2:$A$1000,0)),"")</f>
        <v>Ishita Mehta</v>
      </c>
      <c r="C4" s="2" t="str">
        <f aca="false">IFERROR(LOOKUP(2,1/(Interaction_Log!$B$2:$B$3000=$A4),Interaction_Log!$E$2:$E$3000),"No contact")</f>
        <v>Call Back Later</v>
      </c>
      <c r="D4" s="5" t="str">
        <f aca="false">IFERROR(INDEX(Lists!$B$2:$B$12,MATCH($C4,Lists!$A$2:$A$12,0)),"Unmapped")</f>
        <v>Pending</v>
      </c>
      <c r="E4" s="4" t="n">
        <f aca="false">IFERROR(LOOKUP(2,1/((Interaction_Log!$B$2:$B$3000=$A4)*(Interaction_Log!$G$2:$G$3000&lt;&gt;"")),Interaction_Log!$G$2:$G$3000),"")</f>
        <v>46249</v>
      </c>
      <c r="F4" s="5" t="str">
        <f aca="false">IFERROR(INDEX(Lists!$C$2:$C$12,MATCH($C4,Lists!$A$2:$A$12,0)),"")</f>
        <v>Medium</v>
      </c>
      <c r="G4" s="5" t="str">
        <f aca="false">IFERROR(INDEX(Lists!$D$2:$D$12,MATCH($C4,Lists!$A$2:$A$12,0)),"")</f>
        <v>Call</v>
      </c>
      <c r="H4" s="5" t="str">
        <f aca="false">IF(OR($D4="Converted",$D4="Closed"),"—",IF($E4="","Not Scheduled",IF($E4&lt;CRM_Dashboard!$B$3,"Overdue",IF($E4=CRM_Dashboard!$B$3,"Due Today","Upcoming"))))</f>
        <v>Overdue</v>
      </c>
      <c r="I4" s="5" t="n">
        <f aca="false">COUNTIF(Interaction_Log!$B$2:$B$3000,$A4)</f>
        <v>3</v>
      </c>
      <c r="J4" s="5" t="str">
        <f aca="false">IF(COUNTIFS(Interaction_Log!$B$2:$B$3000,$A4,Interaction_Log!$E$2:$E$3000,"Details Sent")&gt;0,"Yes","No")</f>
        <v>No</v>
      </c>
      <c r="K4" s="2" t="str">
        <f aca="false">IF(AND(COUNTIFS(Interaction_Log!$B$2:$B$3000,$A4,Interaction_Log!$E$2:$E$3000,"Paid")&gt;0,$C4&lt;&gt;"Paid"),"Paid then re-opened","")</f>
        <v/>
      </c>
    </row>
    <row r="5" customFormat="false" ht="15" hidden="false" customHeight="false" outlineLevel="0" collapsed="false">
      <c r="A5" s="2" t="s">
        <v>30</v>
      </c>
      <c r="B5" s="2" t="str">
        <f aca="false">IFERROR(INDEX(Lead_Master!$B$2:$B$1000,MATCH($A5,Lead_Master!$A$2:$A$1000,0)),"")</f>
        <v>Abhishek Verma</v>
      </c>
      <c r="C5" s="2" t="str">
        <f aca="false">IFERROR(LOOKUP(2,1/(Interaction_Log!$B$2:$B$3000=$A5),Interaction_Log!$E$2:$E$3000),"No contact")</f>
        <v>Details Sent</v>
      </c>
      <c r="D5" s="5" t="str">
        <f aca="false">IFERROR(INDEX(Lists!$B$2:$B$12,MATCH($C5,Lists!$A$2:$A$12,0)),"Unmapped")</f>
        <v>Follow Up</v>
      </c>
      <c r="E5" s="4" t="n">
        <f aca="false">IFERROR(LOOKUP(2,1/((Interaction_Log!$B$2:$B$3000=$A5)*(Interaction_Log!$G$2:$G$3000&lt;&gt;"")),Interaction_Log!$G$2:$G$3000),"")</f>
        <v>46262</v>
      </c>
      <c r="F5" s="5" t="str">
        <f aca="false">IFERROR(INDEX(Lists!$C$2:$C$12,MATCH($C5,Lists!$A$2:$A$12,0)),"")</f>
        <v>High</v>
      </c>
      <c r="G5" s="5" t="str">
        <f aca="false">IFERROR(INDEX(Lists!$D$2:$D$12,MATCH($C5,Lists!$A$2:$A$12,0)),"")</f>
        <v>Call</v>
      </c>
      <c r="H5" s="5" t="str">
        <f aca="false">IF(OR($D5="Converted",$D5="Closed"),"—",IF($E5="","Not Scheduled",IF($E5&lt;CRM_Dashboard!$B$3,"Overdue",IF($E5=CRM_Dashboard!$B$3,"Due Today","Upcoming"))))</f>
        <v>Overdue</v>
      </c>
      <c r="I5" s="5" t="n">
        <f aca="false">COUNTIF(Interaction_Log!$B$2:$B$3000,$A5)</f>
        <v>1</v>
      </c>
      <c r="J5" s="5" t="str">
        <f aca="false">IF(COUNTIFS(Interaction_Log!$B$2:$B$3000,$A5,Interaction_Log!$E$2:$E$3000,"Details Sent")&gt;0,"Yes","No")</f>
        <v>Yes</v>
      </c>
      <c r="K5" s="2" t="str">
        <f aca="false">IF(AND(COUNTIFS(Interaction_Log!$B$2:$B$3000,$A5,Interaction_Log!$E$2:$E$3000,"Paid")&gt;0,$C5&lt;&gt;"Paid"),"Paid then re-opened","")</f>
        <v/>
      </c>
    </row>
    <row r="6" customFormat="false" ht="15" hidden="false" customHeight="false" outlineLevel="0" collapsed="false">
      <c r="A6" s="2" t="s">
        <v>37</v>
      </c>
      <c r="B6" s="2" t="str">
        <f aca="false">IFERROR(INDEX(Lead_Master!$B$2:$B$1000,MATCH($A6,Lead_Master!$A$2:$A$1000,0)),"")</f>
        <v>Tanya Kumar</v>
      </c>
      <c r="C6" s="2" t="str">
        <f aca="false">IFERROR(LOOKUP(2,1/(Interaction_Log!$B$2:$B$3000=$A6),Interaction_Log!$E$2:$E$3000),"No contact")</f>
        <v>Details Sent</v>
      </c>
      <c r="D6" s="5" t="str">
        <f aca="false">IFERROR(INDEX(Lists!$B$2:$B$12,MATCH($C6,Lists!$A$2:$A$12,0)),"Unmapped")</f>
        <v>Follow Up</v>
      </c>
      <c r="E6" s="4" t="n">
        <f aca="false">IFERROR(LOOKUP(2,1/((Interaction_Log!$B$2:$B$3000=$A6)*(Interaction_Log!$G$2:$G$3000&lt;&gt;"")),Interaction_Log!$G$2:$G$3000),"")</f>
        <v>46220</v>
      </c>
      <c r="F6" s="5" t="str">
        <f aca="false">IFERROR(INDEX(Lists!$C$2:$C$12,MATCH($C6,Lists!$A$2:$A$12,0)),"")</f>
        <v>High</v>
      </c>
      <c r="G6" s="5" t="str">
        <f aca="false">IFERROR(INDEX(Lists!$D$2:$D$12,MATCH($C6,Lists!$A$2:$A$12,0)),"")</f>
        <v>Call</v>
      </c>
      <c r="H6" s="5" t="str">
        <f aca="false">IF(OR($D6="Converted",$D6="Closed"),"—",IF($E6="","Not Scheduled",IF($E6&lt;CRM_Dashboard!$B$3,"Overdue",IF($E6=CRM_Dashboard!$B$3,"Due Today","Upcoming"))))</f>
        <v>Overdue</v>
      </c>
      <c r="I6" s="5" t="n">
        <f aca="false">COUNTIF(Interaction_Log!$B$2:$B$3000,$A6)</f>
        <v>2</v>
      </c>
      <c r="J6" s="5" t="str">
        <f aca="false">IF(COUNTIFS(Interaction_Log!$B$2:$B$3000,$A6,Interaction_Log!$E$2:$E$3000,"Details Sent")&gt;0,"Yes","No")</f>
        <v>Yes</v>
      </c>
      <c r="K6" s="2" t="str">
        <f aca="false">IF(AND(COUNTIFS(Interaction_Log!$B$2:$B$3000,$A6,Interaction_Log!$E$2:$E$3000,"Paid")&gt;0,$C6&lt;&gt;"Paid"),"Paid then re-opened","")</f>
        <v/>
      </c>
    </row>
    <row r="7" customFormat="false" ht="15" hidden="false" customHeight="false" outlineLevel="0" collapsed="false">
      <c r="A7" s="2" t="s">
        <v>44</v>
      </c>
      <c r="B7" s="2" t="str">
        <f aca="false">IFERROR(INDEX(Lead_Master!$B$2:$B$1000,MATCH($A7,Lead_Master!$A$2:$A$1000,0)),"")</f>
        <v>Aman Jain</v>
      </c>
      <c r="C7" s="2" t="str">
        <f aca="false">IFERROR(LOOKUP(2,1/(Interaction_Log!$B$2:$B$3000=$A7),Interaction_Log!$E$2:$E$3000),"No contact")</f>
        <v>Call Back Later</v>
      </c>
      <c r="D7" s="5" t="str">
        <f aca="false">IFERROR(INDEX(Lists!$B$2:$B$12,MATCH($C7,Lists!$A$2:$A$12,0)),"Unmapped")</f>
        <v>Pending</v>
      </c>
      <c r="E7" s="4" t="n">
        <f aca="false">IFERROR(LOOKUP(2,1/((Interaction_Log!$B$2:$B$3000=$A7)*(Interaction_Log!$G$2:$G$3000&lt;&gt;"")),Interaction_Log!$G$2:$G$3000),"")</f>
        <v>46234</v>
      </c>
      <c r="F7" s="5" t="str">
        <f aca="false">IFERROR(INDEX(Lists!$C$2:$C$12,MATCH($C7,Lists!$A$2:$A$12,0)),"")</f>
        <v>Medium</v>
      </c>
      <c r="G7" s="5" t="str">
        <f aca="false">IFERROR(INDEX(Lists!$D$2:$D$12,MATCH($C7,Lists!$A$2:$A$12,0)),"")</f>
        <v>Call</v>
      </c>
      <c r="H7" s="5" t="str">
        <f aca="false">IF(OR($D7="Converted",$D7="Closed"),"—",IF($E7="","Not Scheduled",IF($E7&lt;CRM_Dashboard!$B$3,"Overdue",IF($E7=CRM_Dashboard!$B$3,"Due Today","Upcoming"))))</f>
        <v>Overdue</v>
      </c>
      <c r="I7" s="5" t="n">
        <f aca="false">COUNTIF(Interaction_Log!$B$2:$B$3000,$A7)</f>
        <v>2</v>
      </c>
      <c r="J7" s="5" t="str">
        <f aca="false">IF(COUNTIFS(Interaction_Log!$B$2:$B$3000,$A7,Interaction_Log!$E$2:$E$3000,"Details Sent")&gt;0,"Yes","No")</f>
        <v>No</v>
      </c>
      <c r="K7" s="2" t="str">
        <f aca="false">IF(AND(COUNTIFS(Interaction_Log!$B$2:$B$3000,$A7,Interaction_Log!$E$2:$E$3000,"Paid")&gt;0,$C7&lt;&gt;"Paid"),"Paid then re-opened","")</f>
        <v/>
      </c>
    </row>
    <row r="8" customFormat="false" ht="15" hidden="false" customHeight="false" outlineLevel="0" collapsed="false">
      <c r="A8" s="2" t="s">
        <v>50</v>
      </c>
      <c r="B8" s="2" t="str">
        <f aca="false">IFERROR(INDEX(Lead_Master!$B$2:$B$1000,MATCH($A8,Lead_Master!$A$2:$A$1000,0)),"")</f>
        <v>Arjun Kumar</v>
      </c>
      <c r="C8" s="2" t="str">
        <f aca="false">IFERROR(LOOKUP(2,1/(Interaction_Log!$B$2:$B$3000=$A8),Interaction_Log!$E$2:$E$3000),"No contact")</f>
        <v>Follow Up</v>
      </c>
      <c r="D8" s="5" t="str">
        <f aca="false">IFERROR(INDEX(Lists!$B$2:$B$12,MATCH($C8,Lists!$A$2:$A$12,0)),"Unmapped")</f>
        <v>Follow Up</v>
      </c>
      <c r="E8" s="4" t="n">
        <f aca="false">IFERROR(LOOKUP(2,1/((Interaction_Log!$B$2:$B$3000=$A8)*(Interaction_Log!$G$2:$G$3000&lt;&gt;"")),Interaction_Log!$G$2:$G$3000),"")</f>
        <v>46216</v>
      </c>
      <c r="F8" s="5" t="str">
        <f aca="false">IFERROR(INDEX(Lists!$C$2:$C$12,MATCH($C8,Lists!$A$2:$A$12,0)),"")</f>
        <v>High</v>
      </c>
      <c r="G8" s="5" t="str">
        <f aca="false">IFERROR(INDEX(Lists!$D$2:$D$12,MATCH($C8,Lists!$A$2:$A$12,0)),"")</f>
        <v>Call</v>
      </c>
      <c r="H8" s="5" t="str">
        <f aca="false">IF(OR($D8="Converted",$D8="Closed"),"—",IF($E8="","Not Scheduled",IF($E8&lt;CRM_Dashboard!$B$3,"Overdue",IF($E8=CRM_Dashboard!$B$3,"Due Today","Upcoming"))))</f>
        <v>Overdue</v>
      </c>
      <c r="I8" s="5" t="n">
        <f aca="false">COUNTIF(Interaction_Log!$B$2:$B$3000,$A8)</f>
        <v>2</v>
      </c>
      <c r="J8" s="5" t="str">
        <f aca="false">IF(COUNTIFS(Interaction_Log!$B$2:$B$3000,$A8,Interaction_Log!$E$2:$E$3000,"Details Sent")&gt;0,"Yes","No")</f>
        <v>No</v>
      </c>
      <c r="K8" s="2" t="str">
        <f aca="false">IF(AND(COUNTIFS(Interaction_Log!$B$2:$B$3000,$A8,Interaction_Log!$E$2:$E$3000,"Paid")&gt;0,$C8&lt;&gt;"Paid"),"Paid then re-opened","")</f>
        <v>Paid then re-opened</v>
      </c>
    </row>
    <row r="9" customFormat="false" ht="15" hidden="false" customHeight="false" outlineLevel="0" collapsed="false">
      <c r="A9" s="2" t="s">
        <v>55</v>
      </c>
      <c r="B9" s="2" t="str">
        <f aca="false">IFERROR(INDEX(Lead_Master!$B$2:$B$1000,MATCH($A9,Lead_Master!$A$2:$A$1000,0)),"")</f>
        <v>Karan Agarwal</v>
      </c>
      <c r="C9" s="2" t="str">
        <f aca="false">IFERROR(LOOKUP(2,1/(Interaction_Log!$B$2:$B$3000=$A9),Interaction_Log!$E$2:$E$3000),"No contact")</f>
        <v>Follow Up</v>
      </c>
      <c r="D9" s="5" t="str">
        <f aca="false">IFERROR(INDEX(Lists!$B$2:$B$12,MATCH($C9,Lists!$A$2:$A$12,0)),"Unmapped")</f>
        <v>Follow Up</v>
      </c>
      <c r="E9" s="4" t="n">
        <f aca="false">IFERROR(LOOKUP(2,1/((Interaction_Log!$B$2:$B$3000=$A9)*(Interaction_Log!$G$2:$G$3000&lt;&gt;"")),Interaction_Log!$G$2:$G$3000),"")</f>
        <v>46278</v>
      </c>
      <c r="F9" s="5" t="str">
        <f aca="false">IFERROR(INDEX(Lists!$C$2:$C$12,MATCH($C9,Lists!$A$2:$A$12,0)),"")</f>
        <v>High</v>
      </c>
      <c r="G9" s="5" t="str">
        <f aca="false">IFERROR(INDEX(Lists!$D$2:$D$12,MATCH($C9,Lists!$A$2:$A$12,0)),"")</f>
        <v>Call</v>
      </c>
      <c r="H9" s="5" t="str">
        <f aca="false">IF(OR($D9="Converted",$D9="Closed"),"—",IF($E9="","Not Scheduled",IF($E9&lt;CRM_Dashboard!$B$3,"Overdue",IF($E9=CRM_Dashboard!$B$3,"Due Today","Upcoming"))))</f>
        <v>Overdue</v>
      </c>
      <c r="I9" s="5" t="n">
        <f aca="false">COUNTIF(Interaction_Log!$B$2:$B$3000,$A9)</f>
        <v>3</v>
      </c>
      <c r="J9" s="5" t="str">
        <f aca="false">IF(COUNTIFS(Interaction_Log!$B$2:$B$3000,$A9,Interaction_Log!$E$2:$E$3000,"Details Sent")&gt;0,"Yes","No")</f>
        <v>Yes</v>
      </c>
      <c r="K9" s="2" t="str">
        <f aca="false">IF(AND(COUNTIFS(Interaction_Log!$B$2:$B$3000,$A9,Interaction_Log!$E$2:$E$3000,"Paid")&gt;0,$C9&lt;&gt;"Paid"),"Paid then re-opened","")</f>
        <v/>
      </c>
    </row>
    <row r="10" customFormat="false" ht="15" hidden="false" customHeight="false" outlineLevel="0" collapsed="false">
      <c r="A10" s="2" t="s">
        <v>60</v>
      </c>
      <c r="B10" s="2" t="str">
        <f aca="false">IFERROR(INDEX(Lead_Master!$B$2:$B$1000,MATCH($A10,Lead_Master!$A$2:$A$1000,0)),"")</f>
        <v>Shreya Singh</v>
      </c>
      <c r="C10" s="2" t="str">
        <f aca="false">IFERROR(LOOKUP(2,1/(Interaction_Log!$B$2:$B$3000=$A10),Interaction_Log!$E$2:$E$3000),"No contact")</f>
        <v>Details Sent</v>
      </c>
      <c r="D10" s="5" t="str">
        <f aca="false">IFERROR(INDEX(Lists!$B$2:$B$12,MATCH($C10,Lists!$A$2:$A$12,0)),"Unmapped")</f>
        <v>Follow Up</v>
      </c>
      <c r="E10" s="4" t="n">
        <f aca="false">IFERROR(LOOKUP(2,1/((Interaction_Log!$B$2:$B$3000=$A10)*(Interaction_Log!$G$2:$G$3000&lt;&gt;"")),Interaction_Log!$G$2:$G$3000),"")</f>
        <v>46300</v>
      </c>
      <c r="F10" s="5" t="str">
        <f aca="false">IFERROR(INDEX(Lists!$C$2:$C$12,MATCH($C10,Lists!$A$2:$A$12,0)),"")</f>
        <v>High</v>
      </c>
      <c r="G10" s="5" t="str">
        <f aca="false">IFERROR(INDEX(Lists!$D$2:$D$12,MATCH($C10,Lists!$A$2:$A$12,0)),"")</f>
        <v>Call</v>
      </c>
      <c r="H10" s="5" t="str">
        <f aca="false">IF(OR($D10="Converted",$D10="Closed"),"—",IF($E10="","Not Scheduled",IF($E10&lt;CRM_Dashboard!$B$3,"Overdue",IF($E10=CRM_Dashboard!$B$3,"Due Today","Upcoming"))))</f>
        <v>Upcoming</v>
      </c>
      <c r="I10" s="5" t="n">
        <f aca="false">COUNTIF(Interaction_Log!$B$2:$B$3000,$A10)</f>
        <v>4</v>
      </c>
      <c r="J10" s="5" t="str">
        <f aca="false">IF(COUNTIFS(Interaction_Log!$B$2:$B$3000,$A10,Interaction_Log!$E$2:$E$3000,"Details Sent")&gt;0,"Yes","No")</f>
        <v>Yes</v>
      </c>
      <c r="K10" s="2" t="str">
        <f aca="false">IF(AND(COUNTIFS(Interaction_Log!$B$2:$B$3000,$A10,Interaction_Log!$E$2:$E$3000,"Paid")&gt;0,$C10&lt;&gt;"Paid"),"Paid then re-opened","")</f>
        <v/>
      </c>
    </row>
    <row r="11" customFormat="false" ht="15" hidden="false" customHeight="false" outlineLevel="0" collapsed="false">
      <c r="A11" s="2" t="s">
        <v>65</v>
      </c>
      <c r="B11" s="2" t="str">
        <f aca="false">IFERROR(INDEX(Lead_Master!$B$2:$B$1000,MATCH($A11,Lead_Master!$A$2:$A$1000,0)),"")</f>
        <v>Tanya Jain</v>
      </c>
      <c r="C11" s="2" t="str">
        <f aca="false">IFERROR(LOOKUP(2,1/(Interaction_Log!$B$2:$B$3000=$A11),Interaction_Log!$E$2:$E$3000),"No contact")</f>
        <v>Call Back Later</v>
      </c>
      <c r="D11" s="5" t="str">
        <f aca="false">IFERROR(INDEX(Lists!$B$2:$B$12,MATCH($C11,Lists!$A$2:$A$12,0)),"Unmapped")</f>
        <v>Pending</v>
      </c>
      <c r="E11" s="4" t="n">
        <f aca="false">IFERROR(LOOKUP(2,1/((Interaction_Log!$B$2:$B$3000=$A11)*(Interaction_Log!$G$2:$G$3000&lt;&gt;"")),Interaction_Log!$G$2:$G$3000),"")</f>
        <v>46248</v>
      </c>
      <c r="F11" s="5" t="str">
        <f aca="false">IFERROR(INDEX(Lists!$C$2:$C$12,MATCH($C11,Lists!$A$2:$A$12,0)),"")</f>
        <v>Medium</v>
      </c>
      <c r="G11" s="5" t="str">
        <f aca="false">IFERROR(INDEX(Lists!$D$2:$D$12,MATCH($C11,Lists!$A$2:$A$12,0)),"")</f>
        <v>Call</v>
      </c>
      <c r="H11" s="5" t="str">
        <f aca="false">IF(OR($D11="Converted",$D11="Closed"),"—",IF($E11="","Not Scheduled",IF($E11&lt;CRM_Dashboard!$B$3,"Overdue",IF($E11=CRM_Dashboard!$B$3,"Due Today","Upcoming"))))</f>
        <v>Overdue</v>
      </c>
      <c r="I11" s="5" t="n">
        <f aca="false">COUNTIF(Interaction_Log!$B$2:$B$3000,$A11)</f>
        <v>1</v>
      </c>
      <c r="J11" s="5" t="str">
        <f aca="false">IF(COUNTIFS(Interaction_Log!$B$2:$B$3000,$A11,Interaction_Log!$E$2:$E$3000,"Details Sent")&gt;0,"Yes","No")</f>
        <v>No</v>
      </c>
      <c r="K11" s="2" t="str">
        <f aca="false">IF(AND(COUNTIFS(Interaction_Log!$B$2:$B$3000,$A11,Interaction_Log!$E$2:$E$3000,"Paid")&gt;0,$C11&lt;&gt;"Paid"),"Paid then re-opened","")</f>
        <v/>
      </c>
    </row>
    <row r="12" customFormat="false" ht="15" hidden="false" customHeight="false" outlineLevel="0" collapsed="false">
      <c r="A12" s="2" t="s">
        <v>71</v>
      </c>
      <c r="B12" s="2" t="str">
        <f aca="false">IFERROR(INDEX(Lead_Master!$B$2:$B$1000,MATCH($A12,Lead_Master!$A$2:$A$1000,0)),"")</f>
        <v>Mehak Jain</v>
      </c>
      <c r="C12" s="2" t="str">
        <f aca="false">IFERROR(LOOKUP(2,1/(Interaction_Log!$B$2:$B$3000=$A12),Interaction_Log!$E$2:$E$3000),"No contact")</f>
        <v>Not Interested</v>
      </c>
      <c r="D12" s="5" t="str">
        <f aca="false">IFERROR(INDEX(Lists!$B$2:$B$12,MATCH($C12,Lists!$A$2:$A$12,0)),"Unmapped")</f>
        <v>Closed</v>
      </c>
      <c r="E12" s="4" t="str">
        <f aca="false">IFERROR(LOOKUP(2,1/((Interaction_Log!$B$2:$B$3000=$A12)*(Interaction_Log!$G$2:$G$3000&lt;&gt;"")),Interaction_Log!$G$2:$G$3000),"")</f>
        <v/>
      </c>
      <c r="F12" s="5" t="str">
        <f aca="false">IFERROR(INDEX(Lists!$C$2:$C$12,MATCH($C12,Lists!$A$2:$A$12,0)),"")</f>
        <v>—</v>
      </c>
      <c r="G12" s="5" t="str">
        <f aca="false">IFERROR(INDEX(Lists!$D$2:$D$12,MATCH($C12,Lists!$A$2:$A$12,0)),"")</f>
        <v>No action</v>
      </c>
      <c r="H12" s="5" t="str">
        <f aca="false">IF(OR($D12="Converted",$D12="Closed"),"—",IF($E12="","Not Scheduled",IF($E12&lt;CRM_Dashboard!$B$3,"Overdue",IF($E12=CRM_Dashboard!$B$3,"Due Today","Upcoming"))))</f>
        <v>—</v>
      </c>
      <c r="I12" s="5" t="n">
        <f aca="false">COUNTIF(Interaction_Log!$B$2:$B$3000,$A12)</f>
        <v>2</v>
      </c>
      <c r="J12" s="5" t="str">
        <f aca="false">IF(COUNTIFS(Interaction_Log!$B$2:$B$3000,$A12,Interaction_Log!$E$2:$E$3000,"Details Sent")&gt;0,"Yes","No")</f>
        <v>No</v>
      </c>
      <c r="K12" s="2" t="str">
        <f aca="false">IF(AND(COUNTIFS(Interaction_Log!$B$2:$B$3000,$A12,Interaction_Log!$E$2:$E$3000,"Paid")&gt;0,$C12&lt;&gt;"Paid"),"Paid then re-opened","")</f>
        <v/>
      </c>
    </row>
    <row r="13" customFormat="false" ht="15" hidden="false" customHeight="false" outlineLevel="0" collapsed="false">
      <c r="A13" s="2" t="s">
        <v>77</v>
      </c>
      <c r="B13" s="2" t="str">
        <f aca="false">IFERROR(INDEX(Lead_Master!$B$2:$B$1000,MATCH($A13,Lead_Master!$A$2:$A$1000,0)),"")</f>
        <v>Harsh Patel</v>
      </c>
      <c r="C13" s="2" t="str">
        <f aca="false">IFERROR(LOOKUP(2,1/(Interaction_Log!$B$2:$B$3000=$A13),Interaction_Log!$E$2:$E$3000),"No contact")</f>
        <v>Switch Off</v>
      </c>
      <c r="D13" s="5" t="str">
        <f aca="false">IFERROR(INDEX(Lists!$B$2:$B$12,MATCH($C13,Lists!$A$2:$A$12,0)),"Unmapped")</f>
        <v>Pending</v>
      </c>
      <c r="E13" s="4" t="str">
        <f aca="false">IFERROR(LOOKUP(2,1/((Interaction_Log!$B$2:$B$3000=$A13)*(Interaction_Log!$G$2:$G$3000&lt;&gt;"")),Interaction_Log!$G$2:$G$3000),"")</f>
        <v/>
      </c>
      <c r="F13" s="5" t="str">
        <f aca="false">IFERROR(INDEX(Lists!$C$2:$C$12,MATCH($C13,Lists!$A$2:$A$12,0)),"")</f>
        <v>Low</v>
      </c>
      <c r="G13" s="5" t="str">
        <f aca="false">IFERROR(INDEX(Lists!$D$2:$D$12,MATCH($C13,Lists!$A$2:$A$12,0)),"")</f>
        <v>Retry</v>
      </c>
      <c r="H13" s="5" t="str">
        <f aca="false">IF(OR($D13="Converted",$D13="Closed"),"—",IF($E13="","Not Scheduled",IF($E13&lt;CRM_Dashboard!$B$3,"Overdue",IF($E13=CRM_Dashboard!$B$3,"Due Today","Upcoming"))))</f>
        <v>Not Scheduled</v>
      </c>
      <c r="I13" s="5" t="n">
        <f aca="false">COUNTIF(Interaction_Log!$B$2:$B$3000,$A13)</f>
        <v>2</v>
      </c>
      <c r="J13" s="5" t="str">
        <f aca="false">IF(COUNTIFS(Interaction_Log!$B$2:$B$3000,$A13,Interaction_Log!$E$2:$E$3000,"Details Sent")&gt;0,"Yes","No")</f>
        <v>No</v>
      </c>
      <c r="K13" s="2" t="str">
        <f aca="false">IF(AND(COUNTIFS(Interaction_Log!$B$2:$B$3000,$A13,Interaction_Log!$E$2:$E$3000,"Paid")&gt;0,$C13&lt;&gt;"Paid"),"Paid then re-opened","")</f>
        <v/>
      </c>
    </row>
    <row r="14" customFormat="false" ht="15" hidden="false" customHeight="false" outlineLevel="0" collapsed="false">
      <c r="A14" s="2" t="s">
        <v>81</v>
      </c>
      <c r="B14" s="2" t="str">
        <f aca="false">IFERROR(INDEX(Lead_Master!$B$2:$B$1000,MATCH($A14,Lead_Master!$A$2:$A$1000,0)),"")</f>
        <v>Rahul Jain</v>
      </c>
      <c r="C14" s="2" t="str">
        <f aca="false">IFERROR(LOOKUP(2,1/(Interaction_Log!$B$2:$B$3000=$A14),Interaction_Log!$E$2:$E$3000),"No contact")</f>
        <v>Switch Off</v>
      </c>
      <c r="D14" s="5" t="str">
        <f aca="false">IFERROR(INDEX(Lists!$B$2:$B$12,MATCH($C14,Lists!$A$2:$A$12,0)),"Unmapped")</f>
        <v>Pending</v>
      </c>
      <c r="E14" s="4" t="str">
        <f aca="false">IFERROR(LOOKUP(2,1/((Interaction_Log!$B$2:$B$3000=$A14)*(Interaction_Log!$G$2:$G$3000&lt;&gt;"")),Interaction_Log!$G$2:$G$3000),"")</f>
        <v/>
      </c>
      <c r="F14" s="5" t="str">
        <f aca="false">IFERROR(INDEX(Lists!$C$2:$C$12,MATCH($C14,Lists!$A$2:$A$12,0)),"")</f>
        <v>Low</v>
      </c>
      <c r="G14" s="5" t="str">
        <f aca="false">IFERROR(INDEX(Lists!$D$2:$D$12,MATCH($C14,Lists!$A$2:$A$12,0)),"")</f>
        <v>Retry</v>
      </c>
      <c r="H14" s="5" t="str">
        <f aca="false">IF(OR($D14="Converted",$D14="Closed"),"—",IF($E14="","Not Scheduled",IF($E14&lt;CRM_Dashboard!$B$3,"Overdue",IF($E14=CRM_Dashboard!$B$3,"Due Today","Upcoming"))))</f>
        <v>Not Scheduled</v>
      </c>
      <c r="I14" s="5" t="n">
        <f aca="false">COUNTIF(Interaction_Log!$B$2:$B$3000,$A14)</f>
        <v>2</v>
      </c>
      <c r="J14" s="5" t="str">
        <f aca="false">IF(COUNTIFS(Interaction_Log!$B$2:$B$3000,$A14,Interaction_Log!$E$2:$E$3000,"Details Sent")&gt;0,"Yes","No")</f>
        <v>No</v>
      </c>
      <c r="K14" s="2" t="str">
        <f aca="false">IF(AND(COUNTIFS(Interaction_Log!$B$2:$B$3000,$A14,Interaction_Log!$E$2:$E$3000,"Paid")&gt;0,$C14&lt;&gt;"Paid"),"Paid then re-opened","")</f>
        <v/>
      </c>
    </row>
    <row r="15" customFormat="false" ht="15" hidden="false" customHeight="false" outlineLevel="0" collapsed="false">
      <c r="A15" s="2" t="s">
        <v>86</v>
      </c>
      <c r="B15" s="2" t="str">
        <f aca="false">IFERROR(INDEX(Lead_Master!$B$2:$B$1000,MATCH($A15,Lead_Master!$A$2:$A$1000,0)),"")</f>
        <v>Vivek Jain</v>
      </c>
      <c r="C15" s="2" t="str">
        <f aca="false">IFERROR(LOOKUP(2,1/(Interaction_Log!$B$2:$B$3000=$A15),Interaction_Log!$E$2:$E$3000),"No contact")</f>
        <v>Paid</v>
      </c>
      <c r="D15" s="5" t="str">
        <f aca="false">IFERROR(INDEX(Lists!$B$2:$B$12,MATCH($C15,Lists!$A$2:$A$12,0)),"Unmapped")</f>
        <v>Converted</v>
      </c>
      <c r="E15" s="4" t="str">
        <f aca="false">IFERROR(LOOKUP(2,1/((Interaction_Log!$B$2:$B$3000=$A15)*(Interaction_Log!$G$2:$G$3000&lt;&gt;"")),Interaction_Log!$G$2:$G$3000),"")</f>
        <v/>
      </c>
      <c r="F15" s="5" t="str">
        <f aca="false">IFERROR(INDEX(Lists!$C$2:$C$12,MATCH($C15,Lists!$A$2:$A$12,0)),"")</f>
        <v>—</v>
      </c>
      <c r="G15" s="5" t="str">
        <f aca="false">IFERROR(INDEX(Lists!$D$2:$D$12,MATCH($C15,Lists!$A$2:$A$12,0)),"")</f>
        <v>Onboard</v>
      </c>
      <c r="H15" s="5" t="str">
        <f aca="false">IF(OR($D15="Converted",$D15="Closed"),"—",IF($E15="","Not Scheduled",IF($E15&lt;CRM_Dashboard!$B$3,"Overdue",IF($E15=CRM_Dashboard!$B$3,"Due Today","Upcoming"))))</f>
        <v>—</v>
      </c>
      <c r="I15" s="5" t="n">
        <f aca="false">COUNTIF(Interaction_Log!$B$2:$B$3000,$A15)</f>
        <v>4</v>
      </c>
      <c r="J15" s="5" t="str">
        <f aca="false">IF(COUNTIFS(Interaction_Log!$B$2:$B$3000,$A15,Interaction_Log!$E$2:$E$3000,"Details Sent")&gt;0,"Yes","No")</f>
        <v>Yes</v>
      </c>
      <c r="K15" s="2" t="str">
        <f aca="false">IF(AND(COUNTIFS(Interaction_Log!$B$2:$B$3000,$A15,Interaction_Log!$E$2:$E$3000,"Paid")&gt;0,$C15&lt;&gt;"Paid"),"Paid then re-opened","")</f>
        <v/>
      </c>
    </row>
    <row r="16" customFormat="false" ht="15" hidden="false" customHeight="false" outlineLevel="0" collapsed="false">
      <c r="A16" s="2" t="s">
        <v>90</v>
      </c>
      <c r="B16" s="2" t="str">
        <f aca="false">IFERROR(INDEX(Lead_Master!$B$2:$B$1000,MATCH($A16,Lead_Master!$A$2:$A$1000,0)),"")</f>
        <v>Karan Verma</v>
      </c>
      <c r="C16" s="2" t="str">
        <f aca="false">IFERROR(LOOKUP(2,1/(Interaction_Log!$B$2:$B$3000=$A16),Interaction_Log!$E$2:$E$3000),"No contact")</f>
        <v>Follow Up</v>
      </c>
      <c r="D16" s="5" t="str">
        <f aca="false">IFERROR(INDEX(Lists!$B$2:$B$12,MATCH($C16,Lists!$A$2:$A$12,0)),"Unmapped")</f>
        <v>Follow Up</v>
      </c>
      <c r="E16" s="4" t="n">
        <f aca="false">IFERROR(LOOKUP(2,1/((Interaction_Log!$B$2:$B$3000=$A16)*(Interaction_Log!$G$2:$G$3000&lt;&gt;"")),Interaction_Log!$G$2:$G$3000),"")</f>
        <v>46211</v>
      </c>
      <c r="F16" s="5" t="str">
        <f aca="false">IFERROR(INDEX(Lists!$C$2:$C$12,MATCH($C16,Lists!$A$2:$A$12,0)),"")</f>
        <v>High</v>
      </c>
      <c r="G16" s="5" t="str">
        <f aca="false">IFERROR(INDEX(Lists!$D$2:$D$12,MATCH($C16,Lists!$A$2:$A$12,0)),"")</f>
        <v>Call</v>
      </c>
      <c r="H16" s="5" t="str">
        <f aca="false">IF(OR($D16="Converted",$D16="Closed"),"—",IF($E16="","Not Scheduled",IF($E16&lt;CRM_Dashboard!$B$3,"Overdue",IF($E16=CRM_Dashboard!$B$3,"Due Today","Upcoming"))))</f>
        <v>Overdue</v>
      </c>
      <c r="I16" s="5" t="n">
        <f aca="false">COUNTIF(Interaction_Log!$B$2:$B$3000,$A16)</f>
        <v>3</v>
      </c>
      <c r="J16" s="5" t="str">
        <f aca="false">IF(COUNTIFS(Interaction_Log!$B$2:$B$3000,$A16,Interaction_Log!$E$2:$E$3000,"Details Sent")&gt;0,"Yes","No")</f>
        <v>No</v>
      </c>
      <c r="K16" s="2" t="str">
        <f aca="false">IF(AND(COUNTIFS(Interaction_Log!$B$2:$B$3000,$A16,Interaction_Log!$E$2:$E$3000,"Paid")&gt;0,$C16&lt;&gt;"Paid"),"Paid then re-opened","")</f>
        <v/>
      </c>
    </row>
    <row r="17" customFormat="false" ht="15" hidden="false" customHeight="false" outlineLevel="0" collapsed="false">
      <c r="A17" s="2" t="s">
        <v>94</v>
      </c>
      <c r="B17" s="2" t="str">
        <f aca="false">IFERROR(INDEX(Lead_Master!$B$2:$B$1000,MATCH($A17,Lead_Master!$A$2:$A$1000,0)),"")</f>
        <v>Riya Verma</v>
      </c>
      <c r="C17" s="2" t="str">
        <f aca="false">IFERROR(LOOKUP(2,1/(Interaction_Log!$B$2:$B$3000=$A17),Interaction_Log!$E$2:$E$3000),"No contact")</f>
        <v>DNP</v>
      </c>
      <c r="D17" s="5" t="str">
        <f aca="false">IFERROR(INDEX(Lists!$B$2:$B$12,MATCH($C17,Lists!$A$2:$A$12,0)),"Unmapped")</f>
        <v>Pending</v>
      </c>
      <c r="E17" s="4" t="str">
        <f aca="false">IFERROR(LOOKUP(2,1/((Interaction_Log!$B$2:$B$3000=$A17)*(Interaction_Log!$G$2:$G$3000&lt;&gt;"")),Interaction_Log!$G$2:$G$3000),"")</f>
        <v/>
      </c>
      <c r="F17" s="5" t="str">
        <f aca="false">IFERROR(INDEX(Lists!$C$2:$C$12,MATCH($C17,Lists!$A$2:$A$12,0)),"")</f>
        <v>Low</v>
      </c>
      <c r="G17" s="5" t="str">
        <f aca="false">IFERROR(INDEX(Lists!$D$2:$D$12,MATCH($C17,Lists!$A$2:$A$12,0)),"")</f>
        <v>Retry</v>
      </c>
      <c r="H17" s="5" t="str">
        <f aca="false">IF(OR($D17="Converted",$D17="Closed"),"—",IF($E17="","Not Scheduled",IF($E17&lt;CRM_Dashboard!$B$3,"Overdue",IF($E17=CRM_Dashboard!$B$3,"Due Today","Upcoming"))))</f>
        <v>Not Scheduled</v>
      </c>
      <c r="I17" s="5" t="n">
        <f aca="false">COUNTIF(Interaction_Log!$B$2:$B$3000,$A17)</f>
        <v>4</v>
      </c>
      <c r="J17" s="5" t="str">
        <f aca="false">IF(COUNTIFS(Interaction_Log!$B$2:$B$3000,$A17,Interaction_Log!$E$2:$E$3000,"Details Sent")&gt;0,"Yes","No")</f>
        <v>Yes</v>
      </c>
      <c r="K17" s="2" t="str">
        <f aca="false">IF(AND(COUNTIFS(Interaction_Log!$B$2:$B$3000,$A17,Interaction_Log!$E$2:$E$3000,"Paid")&gt;0,$C17&lt;&gt;"Paid"),"Paid then re-opened","")</f>
        <v/>
      </c>
    </row>
    <row r="18" customFormat="false" ht="15" hidden="false" customHeight="false" outlineLevel="0" collapsed="false">
      <c r="A18" s="2" t="s">
        <v>98</v>
      </c>
      <c r="B18" s="2" t="str">
        <f aca="false">IFERROR(INDEX(Lead_Master!$B$2:$B$1000,MATCH($A18,Lead_Master!$A$2:$A$1000,0)),"")</f>
        <v>Karan Gupta</v>
      </c>
      <c r="C18" s="2" t="str">
        <f aca="false">IFERROR(LOOKUP(2,1/(Interaction_Log!$B$2:$B$3000=$A18),Interaction_Log!$E$2:$E$3000),"No contact")</f>
        <v>Switch Off</v>
      </c>
      <c r="D18" s="5" t="str">
        <f aca="false">IFERROR(INDEX(Lists!$B$2:$B$12,MATCH($C18,Lists!$A$2:$A$12,0)),"Unmapped")</f>
        <v>Pending</v>
      </c>
      <c r="E18" s="4" t="str">
        <f aca="false">IFERROR(LOOKUP(2,1/((Interaction_Log!$B$2:$B$3000=$A18)*(Interaction_Log!$G$2:$G$3000&lt;&gt;"")),Interaction_Log!$G$2:$G$3000),"")</f>
        <v/>
      </c>
      <c r="F18" s="5" t="str">
        <f aca="false">IFERROR(INDEX(Lists!$C$2:$C$12,MATCH($C18,Lists!$A$2:$A$12,0)),"")</f>
        <v>Low</v>
      </c>
      <c r="G18" s="5" t="str">
        <f aca="false">IFERROR(INDEX(Lists!$D$2:$D$12,MATCH($C18,Lists!$A$2:$A$12,0)),"")</f>
        <v>Retry</v>
      </c>
      <c r="H18" s="5" t="str">
        <f aca="false">IF(OR($D18="Converted",$D18="Closed"),"—",IF($E18="","Not Scheduled",IF($E18&lt;CRM_Dashboard!$B$3,"Overdue",IF($E18=CRM_Dashboard!$B$3,"Due Today","Upcoming"))))</f>
        <v>Not Scheduled</v>
      </c>
      <c r="I18" s="5" t="n">
        <f aca="false">COUNTIF(Interaction_Log!$B$2:$B$3000,$A18)</f>
        <v>4</v>
      </c>
      <c r="J18" s="5" t="str">
        <f aca="false">IF(COUNTIFS(Interaction_Log!$B$2:$B$3000,$A18,Interaction_Log!$E$2:$E$3000,"Details Sent")&gt;0,"Yes","No")</f>
        <v>Yes</v>
      </c>
      <c r="K18" s="2" t="str">
        <f aca="false">IF(AND(COUNTIFS(Interaction_Log!$B$2:$B$3000,$A18,Interaction_Log!$E$2:$E$3000,"Paid")&gt;0,$C18&lt;&gt;"Paid"),"Paid then re-opened","")</f>
        <v/>
      </c>
    </row>
    <row r="19" customFormat="false" ht="15" hidden="false" customHeight="false" outlineLevel="0" collapsed="false">
      <c r="A19" s="2" t="s">
        <v>102</v>
      </c>
      <c r="B19" s="2" t="str">
        <f aca="false">IFERROR(INDEX(Lead_Master!$B$2:$B$1000,MATCH($A19,Lead_Master!$A$2:$A$1000,0)),"")</f>
        <v>Ananya Srivastava</v>
      </c>
      <c r="C19" s="2" t="str">
        <f aca="false">IFERROR(LOOKUP(2,1/(Interaction_Log!$B$2:$B$3000=$A19),Interaction_Log!$E$2:$E$3000),"No contact")</f>
        <v>Details Sent</v>
      </c>
      <c r="D19" s="5" t="str">
        <f aca="false">IFERROR(INDEX(Lists!$B$2:$B$12,MATCH($C19,Lists!$A$2:$A$12,0)),"Unmapped")</f>
        <v>Follow Up</v>
      </c>
      <c r="E19" s="4" t="n">
        <f aca="false">IFERROR(LOOKUP(2,1/((Interaction_Log!$B$2:$B$3000=$A19)*(Interaction_Log!$G$2:$G$3000&lt;&gt;"")),Interaction_Log!$G$2:$G$3000),"")</f>
        <v>46235</v>
      </c>
      <c r="F19" s="5" t="str">
        <f aca="false">IFERROR(INDEX(Lists!$C$2:$C$12,MATCH($C19,Lists!$A$2:$A$12,0)),"")</f>
        <v>High</v>
      </c>
      <c r="G19" s="5" t="str">
        <f aca="false">IFERROR(INDEX(Lists!$D$2:$D$12,MATCH($C19,Lists!$A$2:$A$12,0)),"")</f>
        <v>Call</v>
      </c>
      <c r="H19" s="5" t="str">
        <f aca="false">IF(OR($D19="Converted",$D19="Closed"),"—",IF($E19="","Not Scheduled",IF($E19&lt;CRM_Dashboard!$B$3,"Overdue",IF($E19=CRM_Dashboard!$B$3,"Due Today","Upcoming"))))</f>
        <v>Overdue</v>
      </c>
      <c r="I19" s="5" t="n">
        <f aca="false">COUNTIF(Interaction_Log!$B$2:$B$3000,$A19)</f>
        <v>2</v>
      </c>
      <c r="J19" s="5" t="str">
        <f aca="false">IF(COUNTIFS(Interaction_Log!$B$2:$B$3000,$A19,Interaction_Log!$E$2:$E$3000,"Details Sent")&gt;0,"Yes","No")</f>
        <v>Yes</v>
      </c>
      <c r="K19" s="2" t="str">
        <f aca="false">IF(AND(COUNTIFS(Interaction_Log!$B$2:$B$3000,$A19,Interaction_Log!$E$2:$E$3000,"Paid")&gt;0,$C19&lt;&gt;"Paid"),"Paid then re-opened","")</f>
        <v/>
      </c>
    </row>
    <row r="20" customFormat="false" ht="15" hidden="false" customHeight="false" outlineLevel="0" collapsed="false">
      <c r="A20" s="2" t="s">
        <v>108</v>
      </c>
      <c r="B20" s="2" t="str">
        <f aca="false">IFERROR(INDEX(Lead_Master!$B$2:$B$1000,MATCH($A20,Lead_Master!$A$2:$A$1000,0)),"")</f>
        <v>Pooja Agarwal</v>
      </c>
      <c r="C20" s="2" t="str">
        <f aca="false">IFERROR(LOOKUP(2,1/(Interaction_Log!$B$2:$B$3000=$A20),Interaction_Log!$E$2:$E$3000),"No contact")</f>
        <v>Follow Up</v>
      </c>
      <c r="D20" s="5" t="str">
        <f aca="false">IFERROR(INDEX(Lists!$B$2:$B$12,MATCH($C20,Lists!$A$2:$A$12,0)),"Unmapped")</f>
        <v>Follow Up</v>
      </c>
      <c r="E20" s="4" t="n">
        <f aca="false">IFERROR(LOOKUP(2,1/((Interaction_Log!$B$2:$B$3000=$A20)*(Interaction_Log!$G$2:$G$3000&lt;&gt;"")),Interaction_Log!$G$2:$G$3000),"")</f>
        <v>46281</v>
      </c>
      <c r="F20" s="5" t="str">
        <f aca="false">IFERROR(INDEX(Lists!$C$2:$C$12,MATCH($C20,Lists!$A$2:$A$12,0)),"")</f>
        <v>High</v>
      </c>
      <c r="G20" s="5" t="str">
        <f aca="false">IFERROR(INDEX(Lists!$D$2:$D$12,MATCH($C20,Lists!$A$2:$A$12,0)),"")</f>
        <v>Call</v>
      </c>
      <c r="H20" s="5" t="str">
        <f aca="false">IF(OR($D20="Converted",$D20="Closed"),"—",IF($E20="","Not Scheduled",IF($E20&lt;CRM_Dashboard!$B$3,"Overdue",IF($E20=CRM_Dashboard!$B$3,"Due Today","Upcoming"))))</f>
        <v>Overdue</v>
      </c>
      <c r="I20" s="5" t="n">
        <f aca="false">COUNTIF(Interaction_Log!$B$2:$B$3000,$A20)</f>
        <v>4</v>
      </c>
      <c r="J20" s="5" t="str">
        <f aca="false">IF(COUNTIFS(Interaction_Log!$B$2:$B$3000,$A20,Interaction_Log!$E$2:$E$3000,"Details Sent")&gt;0,"Yes","No")</f>
        <v>No</v>
      </c>
      <c r="K20" s="2" t="str">
        <f aca="false">IF(AND(COUNTIFS(Interaction_Log!$B$2:$B$3000,$A20,Interaction_Log!$E$2:$E$3000,"Paid")&gt;0,$C20&lt;&gt;"Paid"),"Paid then re-opened","")</f>
        <v/>
      </c>
    </row>
    <row r="21" customFormat="false" ht="15" hidden="false" customHeight="false" outlineLevel="0" collapsed="false">
      <c r="A21" s="2" t="s">
        <v>113</v>
      </c>
      <c r="B21" s="2" t="str">
        <f aca="false">IFERROR(INDEX(Lead_Master!$B$2:$B$1000,MATCH($A21,Lead_Master!$A$2:$A$1000,0)),"")</f>
        <v>Aditya Pandey</v>
      </c>
      <c r="C21" s="2" t="str">
        <f aca="false">IFERROR(LOOKUP(2,1/(Interaction_Log!$B$2:$B$3000=$A21),Interaction_Log!$E$2:$E$3000),"No contact")</f>
        <v>DNP</v>
      </c>
      <c r="D21" s="5" t="str">
        <f aca="false">IFERROR(INDEX(Lists!$B$2:$B$12,MATCH($C21,Lists!$A$2:$A$12,0)),"Unmapped")</f>
        <v>Pending</v>
      </c>
      <c r="E21" s="4" t="str">
        <f aca="false">IFERROR(LOOKUP(2,1/((Interaction_Log!$B$2:$B$3000=$A21)*(Interaction_Log!$G$2:$G$3000&lt;&gt;"")),Interaction_Log!$G$2:$G$3000),"")</f>
        <v/>
      </c>
      <c r="F21" s="5" t="str">
        <f aca="false">IFERROR(INDEX(Lists!$C$2:$C$12,MATCH($C21,Lists!$A$2:$A$12,0)),"")</f>
        <v>Low</v>
      </c>
      <c r="G21" s="5" t="str">
        <f aca="false">IFERROR(INDEX(Lists!$D$2:$D$12,MATCH($C21,Lists!$A$2:$A$12,0)),"")</f>
        <v>Retry</v>
      </c>
      <c r="H21" s="5" t="str">
        <f aca="false">IF(OR($D21="Converted",$D21="Closed"),"—",IF($E21="","Not Scheduled",IF($E21&lt;CRM_Dashboard!$B$3,"Overdue",IF($E21=CRM_Dashboard!$B$3,"Due Today","Upcoming"))))</f>
        <v>Not Scheduled</v>
      </c>
      <c r="I21" s="5" t="n">
        <f aca="false">COUNTIF(Interaction_Log!$B$2:$B$3000,$A21)</f>
        <v>2</v>
      </c>
      <c r="J21" s="5" t="str">
        <f aca="false">IF(COUNTIFS(Interaction_Log!$B$2:$B$3000,$A21,Interaction_Log!$E$2:$E$3000,"Details Sent")&gt;0,"Yes","No")</f>
        <v>No</v>
      </c>
      <c r="K21" s="2" t="str">
        <f aca="false">IF(AND(COUNTIFS(Interaction_Log!$B$2:$B$3000,$A21,Interaction_Log!$E$2:$E$3000,"Paid")&gt;0,$C21&lt;&gt;"Paid"),"Paid then re-opened","")</f>
        <v/>
      </c>
    </row>
    <row r="22" customFormat="false" ht="15" hidden="false" customHeight="false" outlineLevel="0" collapsed="false">
      <c r="A22" s="2" t="s">
        <v>117</v>
      </c>
      <c r="B22" s="2" t="str">
        <f aca="false">IFERROR(INDEX(Lead_Master!$B$2:$B$1000,MATCH($A22,Lead_Master!$A$2:$A$1000,0)),"")</f>
        <v>Aman Verma</v>
      </c>
      <c r="C22" s="2" t="str">
        <f aca="false">IFERROR(LOOKUP(2,1/(Interaction_Log!$B$2:$B$3000=$A22),Interaction_Log!$E$2:$E$3000),"No contact")</f>
        <v>Not Interested</v>
      </c>
      <c r="D22" s="5" t="str">
        <f aca="false">IFERROR(INDEX(Lists!$B$2:$B$12,MATCH($C22,Lists!$A$2:$A$12,0)),"Unmapped")</f>
        <v>Closed</v>
      </c>
      <c r="E22" s="4" t="str">
        <f aca="false">IFERROR(LOOKUP(2,1/((Interaction_Log!$B$2:$B$3000=$A22)*(Interaction_Log!$G$2:$G$3000&lt;&gt;"")),Interaction_Log!$G$2:$G$3000),"")</f>
        <v/>
      </c>
      <c r="F22" s="5" t="str">
        <f aca="false">IFERROR(INDEX(Lists!$C$2:$C$12,MATCH($C22,Lists!$A$2:$A$12,0)),"")</f>
        <v>—</v>
      </c>
      <c r="G22" s="5" t="str">
        <f aca="false">IFERROR(INDEX(Lists!$D$2:$D$12,MATCH($C22,Lists!$A$2:$A$12,0)),"")</f>
        <v>No action</v>
      </c>
      <c r="H22" s="5" t="str">
        <f aca="false">IF(OR($D22="Converted",$D22="Closed"),"—",IF($E22="","Not Scheduled",IF($E22&lt;CRM_Dashboard!$B$3,"Overdue",IF($E22=CRM_Dashboard!$B$3,"Due Today","Upcoming"))))</f>
        <v>—</v>
      </c>
      <c r="I22" s="5" t="n">
        <f aca="false">COUNTIF(Interaction_Log!$B$2:$B$3000,$A22)</f>
        <v>3</v>
      </c>
      <c r="J22" s="5" t="str">
        <f aca="false">IF(COUNTIFS(Interaction_Log!$B$2:$B$3000,$A22,Interaction_Log!$E$2:$E$3000,"Details Sent")&gt;0,"Yes","No")</f>
        <v>No</v>
      </c>
      <c r="K22" s="2" t="str">
        <f aca="false">IF(AND(COUNTIFS(Interaction_Log!$B$2:$B$3000,$A22,Interaction_Log!$E$2:$E$3000,"Paid")&gt;0,$C22&lt;&gt;"Paid"),"Paid then re-opened","")</f>
        <v>Paid then re-opened</v>
      </c>
    </row>
    <row r="23" customFormat="false" ht="15" hidden="false" customHeight="false" outlineLevel="0" collapsed="false">
      <c r="A23" s="2" t="s">
        <v>122</v>
      </c>
      <c r="B23" s="2" t="str">
        <f aca="false">IFERROR(INDEX(Lead_Master!$B$2:$B$1000,MATCH($A23,Lead_Master!$A$2:$A$1000,0)),"")</f>
        <v>Aarav Mishra</v>
      </c>
      <c r="C23" s="2" t="str">
        <f aca="false">IFERROR(LOOKUP(2,1/(Interaction_Log!$B$2:$B$3000=$A23),Interaction_Log!$E$2:$E$3000),"No contact")</f>
        <v>DNP</v>
      </c>
      <c r="D23" s="5" t="str">
        <f aca="false">IFERROR(INDEX(Lists!$B$2:$B$12,MATCH($C23,Lists!$A$2:$A$12,0)),"Unmapped")</f>
        <v>Pending</v>
      </c>
      <c r="E23" s="4" t="str">
        <f aca="false">IFERROR(LOOKUP(2,1/((Interaction_Log!$B$2:$B$3000=$A23)*(Interaction_Log!$G$2:$G$3000&lt;&gt;"")),Interaction_Log!$G$2:$G$3000),"")</f>
        <v/>
      </c>
      <c r="F23" s="5" t="str">
        <f aca="false">IFERROR(INDEX(Lists!$C$2:$C$12,MATCH($C23,Lists!$A$2:$A$12,0)),"")</f>
        <v>Low</v>
      </c>
      <c r="G23" s="5" t="str">
        <f aca="false">IFERROR(INDEX(Lists!$D$2:$D$12,MATCH($C23,Lists!$A$2:$A$12,0)),"")</f>
        <v>Retry</v>
      </c>
      <c r="H23" s="5" t="str">
        <f aca="false">IF(OR($D23="Converted",$D23="Closed"),"—",IF($E23="","Not Scheduled",IF($E23&lt;CRM_Dashboard!$B$3,"Overdue",IF($E23=CRM_Dashboard!$B$3,"Due Today","Upcoming"))))</f>
        <v>Not Scheduled</v>
      </c>
      <c r="I23" s="5" t="n">
        <f aca="false">COUNTIF(Interaction_Log!$B$2:$B$3000,$A23)</f>
        <v>1</v>
      </c>
      <c r="J23" s="5" t="str">
        <f aca="false">IF(COUNTIFS(Interaction_Log!$B$2:$B$3000,$A23,Interaction_Log!$E$2:$E$3000,"Details Sent")&gt;0,"Yes","No")</f>
        <v>No</v>
      </c>
      <c r="K23" s="2" t="str">
        <f aca="false">IF(AND(COUNTIFS(Interaction_Log!$B$2:$B$3000,$A23,Interaction_Log!$E$2:$E$3000,"Paid")&gt;0,$C23&lt;&gt;"Paid"),"Paid then re-opened","")</f>
        <v/>
      </c>
    </row>
    <row r="24" customFormat="false" ht="15" hidden="false" customHeight="false" outlineLevel="0" collapsed="false">
      <c r="A24" s="2" t="s">
        <v>126</v>
      </c>
      <c r="B24" s="2" t="str">
        <f aca="false">IFERROR(INDEX(Lead_Master!$B$2:$B$1000,MATCH($A24,Lead_Master!$A$2:$A$1000,0)),"")</f>
        <v>Sneha Mishra</v>
      </c>
      <c r="C24" s="2" t="str">
        <f aca="false">IFERROR(LOOKUP(2,1/(Interaction_Log!$B$2:$B$3000=$A24),Interaction_Log!$E$2:$E$3000),"No contact")</f>
        <v>Paid</v>
      </c>
      <c r="D24" s="5" t="str">
        <f aca="false">IFERROR(INDEX(Lists!$B$2:$B$12,MATCH($C24,Lists!$A$2:$A$12,0)),"Unmapped")</f>
        <v>Converted</v>
      </c>
      <c r="E24" s="4" t="str">
        <f aca="false">IFERROR(LOOKUP(2,1/((Interaction_Log!$B$2:$B$3000=$A24)*(Interaction_Log!$G$2:$G$3000&lt;&gt;"")),Interaction_Log!$G$2:$G$3000),"")</f>
        <v/>
      </c>
      <c r="F24" s="5" t="str">
        <f aca="false">IFERROR(INDEX(Lists!$C$2:$C$12,MATCH($C24,Lists!$A$2:$A$12,0)),"")</f>
        <v>—</v>
      </c>
      <c r="G24" s="5" t="str">
        <f aca="false">IFERROR(INDEX(Lists!$D$2:$D$12,MATCH($C24,Lists!$A$2:$A$12,0)),"")</f>
        <v>Onboard</v>
      </c>
      <c r="H24" s="5" t="str">
        <f aca="false">IF(OR($D24="Converted",$D24="Closed"),"—",IF($E24="","Not Scheduled",IF($E24&lt;CRM_Dashboard!$B$3,"Overdue",IF($E24=CRM_Dashboard!$B$3,"Due Today","Upcoming"))))</f>
        <v>—</v>
      </c>
      <c r="I24" s="5" t="n">
        <f aca="false">COUNTIF(Interaction_Log!$B$2:$B$3000,$A24)</f>
        <v>3</v>
      </c>
      <c r="J24" s="5" t="str">
        <f aca="false">IF(COUNTIFS(Interaction_Log!$B$2:$B$3000,$A24,Interaction_Log!$E$2:$E$3000,"Details Sent")&gt;0,"Yes","No")</f>
        <v>No</v>
      </c>
      <c r="K24" s="2" t="str">
        <f aca="false">IF(AND(COUNTIFS(Interaction_Log!$B$2:$B$3000,$A24,Interaction_Log!$E$2:$E$3000,"Paid")&gt;0,$C24&lt;&gt;"Paid"),"Paid then re-opened","")</f>
        <v/>
      </c>
    </row>
    <row r="25" customFormat="false" ht="15" hidden="false" customHeight="false" outlineLevel="0" collapsed="false">
      <c r="A25" s="2" t="s">
        <v>130</v>
      </c>
      <c r="B25" s="2" t="str">
        <f aca="false">IFERROR(INDEX(Lead_Master!$B$2:$B$1000,MATCH($A25,Lead_Master!$A$2:$A$1000,0)),"")</f>
        <v>Muskan Verma</v>
      </c>
      <c r="C25" s="2" t="str">
        <f aca="false">IFERROR(LOOKUP(2,1/(Interaction_Log!$B$2:$B$3000=$A25),Interaction_Log!$E$2:$E$3000),"No contact")</f>
        <v>Follow Up</v>
      </c>
      <c r="D25" s="5" t="str">
        <f aca="false">IFERROR(INDEX(Lists!$B$2:$B$12,MATCH($C25,Lists!$A$2:$A$12,0)),"Unmapped")</f>
        <v>Follow Up</v>
      </c>
      <c r="E25" s="4" t="n">
        <f aca="false">IFERROR(LOOKUP(2,1/((Interaction_Log!$B$2:$B$3000=$A25)*(Interaction_Log!$G$2:$G$3000&lt;&gt;"")),Interaction_Log!$G$2:$G$3000),"")</f>
        <v>46278</v>
      </c>
      <c r="F25" s="5" t="str">
        <f aca="false">IFERROR(INDEX(Lists!$C$2:$C$12,MATCH($C25,Lists!$A$2:$A$12,0)),"")</f>
        <v>High</v>
      </c>
      <c r="G25" s="5" t="str">
        <f aca="false">IFERROR(INDEX(Lists!$D$2:$D$12,MATCH($C25,Lists!$A$2:$A$12,0)),"")</f>
        <v>Call</v>
      </c>
      <c r="H25" s="5" t="str">
        <f aca="false">IF(OR($D25="Converted",$D25="Closed"),"—",IF($E25="","Not Scheduled",IF($E25&lt;CRM_Dashboard!$B$3,"Overdue",IF($E25=CRM_Dashboard!$B$3,"Due Today","Upcoming"))))</f>
        <v>Overdue</v>
      </c>
      <c r="I25" s="5" t="n">
        <f aca="false">COUNTIF(Interaction_Log!$B$2:$B$3000,$A25)</f>
        <v>2</v>
      </c>
      <c r="J25" s="5" t="str">
        <f aca="false">IF(COUNTIFS(Interaction_Log!$B$2:$B$3000,$A25,Interaction_Log!$E$2:$E$3000,"Details Sent")&gt;0,"Yes","No")</f>
        <v>No</v>
      </c>
      <c r="K25" s="2" t="str">
        <f aca="false">IF(AND(COUNTIFS(Interaction_Log!$B$2:$B$3000,$A25,Interaction_Log!$E$2:$E$3000,"Paid")&gt;0,$C25&lt;&gt;"Paid"),"Paid then re-opened","")</f>
        <v/>
      </c>
    </row>
    <row r="26" customFormat="false" ht="15" hidden="false" customHeight="false" outlineLevel="0" collapsed="false">
      <c r="A26" s="2" t="s">
        <v>134</v>
      </c>
      <c r="B26" s="2" t="str">
        <f aca="false">IFERROR(INDEX(Lead_Master!$B$2:$B$1000,MATCH($A26,Lead_Master!$A$2:$A$1000,0)),"")</f>
        <v>Muskan Srivastava</v>
      </c>
      <c r="C26" s="2" t="str">
        <f aca="false">IFERROR(LOOKUP(2,1/(Interaction_Log!$B$2:$B$3000=$A26),Interaction_Log!$E$2:$E$3000),"No contact")</f>
        <v>Follow Up</v>
      </c>
      <c r="D26" s="5" t="str">
        <f aca="false">IFERROR(INDEX(Lists!$B$2:$B$12,MATCH($C26,Lists!$A$2:$A$12,0)),"Unmapped")</f>
        <v>Follow Up</v>
      </c>
      <c r="E26" s="4" t="n">
        <f aca="false">IFERROR(LOOKUP(2,1/((Interaction_Log!$B$2:$B$3000=$A26)*(Interaction_Log!$G$2:$G$3000&lt;&gt;"")),Interaction_Log!$G$2:$G$3000),"")</f>
        <v>46211</v>
      </c>
      <c r="F26" s="5" t="str">
        <f aca="false">IFERROR(INDEX(Lists!$C$2:$C$12,MATCH($C26,Lists!$A$2:$A$12,0)),"")</f>
        <v>High</v>
      </c>
      <c r="G26" s="5" t="str">
        <f aca="false">IFERROR(INDEX(Lists!$D$2:$D$12,MATCH($C26,Lists!$A$2:$A$12,0)),"")</f>
        <v>Call</v>
      </c>
      <c r="H26" s="5" t="str">
        <f aca="false">IF(OR($D26="Converted",$D26="Closed"),"—",IF($E26="","Not Scheduled",IF($E26&lt;CRM_Dashboard!$B$3,"Overdue",IF($E26=CRM_Dashboard!$B$3,"Due Today","Upcoming"))))</f>
        <v>Overdue</v>
      </c>
      <c r="I26" s="5" t="n">
        <f aca="false">COUNTIF(Interaction_Log!$B$2:$B$3000,$A26)</f>
        <v>1</v>
      </c>
      <c r="J26" s="5" t="str">
        <f aca="false">IF(COUNTIFS(Interaction_Log!$B$2:$B$3000,$A26,Interaction_Log!$E$2:$E$3000,"Details Sent")&gt;0,"Yes","No")</f>
        <v>No</v>
      </c>
      <c r="K26" s="2" t="str">
        <f aca="false">IF(AND(COUNTIFS(Interaction_Log!$B$2:$B$3000,$A26,Interaction_Log!$E$2:$E$3000,"Paid")&gt;0,$C26&lt;&gt;"Paid"),"Paid then re-opened","")</f>
        <v/>
      </c>
    </row>
    <row r="27" customFormat="false" ht="15" hidden="false" customHeight="false" outlineLevel="0" collapsed="false">
      <c r="A27" s="2" t="s">
        <v>138</v>
      </c>
      <c r="B27" s="2" t="str">
        <f aca="false">IFERROR(INDEX(Lead_Master!$B$2:$B$1000,MATCH($A27,Lead_Master!$A$2:$A$1000,0)),"")</f>
        <v>Yash Mishra</v>
      </c>
      <c r="C27" s="2" t="str">
        <f aca="false">IFERROR(LOOKUP(2,1/(Interaction_Log!$B$2:$B$3000=$A27),Interaction_Log!$E$2:$E$3000),"No contact")</f>
        <v>Not Interested</v>
      </c>
      <c r="D27" s="5" t="str">
        <f aca="false">IFERROR(INDEX(Lists!$B$2:$B$12,MATCH($C27,Lists!$A$2:$A$12,0)),"Unmapped")</f>
        <v>Closed</v>
      </c>
      <c r="E27" s="4" t="str">
        <f aca="false">IFERROR(LOOKUP(2,1/((Interaction_Log!$B$2:$B$3000=$A27)*(Interaction_Log!$G$2:$G$3000&lt;&gt;"")),Interaction_Log!$G$2:$G$3000),"")</f>
        <v/>
      </c>
      <c r="F27" s="5" t="str">
        <f aca="false">IFERROR(INDEX(Lists!$C$2:$C$12,MATCH($C27,Lists!$A$2:$A$12,0)),"")</f>
        <v>—</v>
      </c>
      <c r="G27" s="5" t="str">
        <f aca="false">IFERROR(INDEX(Lists!$D$2:$D$12,MATCH($C27,Lists!$A$2:$A$12,0)),"")</f>
        <v>No action</v>
      </c>
      <c r="H27" s="5" t="str">
        <f aca="false">IF(OR($D27="Converted",$D27="Closed"),"—",IF($E27="","Not Scheduled",IF($E27&lt;CRM_Dashboard!$B$3,"Overdue",IF($E27=CRM_Dashboard!$B$3,"Due Today","Upcoming"))))</f>
        <v>—</v>
      </c>
      <c r="I27" s="5" t="n">
        <f aca="false">COUNTIF(Interaction_Log!$B$2:$B$3000,$A27)</f>
        <v>4</v>
      </c>
      <c r="J27" s="5" t="str">
        <f aca="false">IF(COUNTIFS(Interaction_Log!$B$2:$B$3000,$A27,Interaction_Log!$E$2:$E$3000,"Details Sent")&gt;0,"Yes","No")</f>
        <v>No</v>
      </c>
      <c r="K27" s="2" t="str">
        <f aca="false">IF(AND(COUNTIFS(Interaction_Log!$B$2:$B$3000,$A27,Interaction_Log!$E$2:$E$3000,"Paid")&gt;0,$C27&lt;&gt;"Paid"),"Paid then re-opened","")</f>
        <v/>
      </c>
    </row>
    <row r="28" customFormat="false" ht="15" hidden="false" customHeight="false" outlineLevel="0" collapsed="false">
      <c r="A28" s="2" t="s">
        <v>142</v>
      </c>
      <c r="B28" s="2" t="str">
        <f aca="false">IFERROR(INDEX(Lead_Master!$B$2:$B$1000,MATCH($A28,Lead_Master!$A$2:$A$1000,0)),"")</f>
        <v>Rohan Patel</v>
      </c>
      <c r="C28" s="2" t="str">
        <f aca="false">IFERROR(LOOKUP(2,1/(Interaction_Log!$B$2:$B$3000=$A28),Interaction_Log!$E$2:$E$3000),"No contact")</f>
        <v>DNP</v>
      </c>
      <c r="D28" s="5" t="str">
        <f aca="false">IFERROR(INDEX(Lists!$B$2:$B$12,MATCH($C28,Lists!$A$2:$A$12,0)),"Unmapped")</f>
        <v>Pending</v>
      </c>
      <c r="E28" s="4" t="str">
        <f aca="false">IFERROR(LOOKUP(2,1/((Interaction_Log!$B$2:$B$3000=$A28)*(Interaction_Log!$G$2:$G$3000&lt;&gt;"")),Interaction_Log!$G$2:$G$3000),"")</f>
        <v/>
      </c>
      <c r="F28" s="5" t="str">
        <f aca="false">IFERROR(INDEX(Lists!$C$2:$C$12,MATCH($C28,Lists!$A$2:$A$12,0)),"")</f>
        <v>Low</v>
      </c>
      <c r="G28" s="5" t="str">
        <f aca="false">IFERROR(INDEX(Lists!$D$2:$D$12,MATCH($C28,Lists!$A$2:$A$12,0)),"")</f>
        <v>Retry</v>
      </c>
      <c r="H28" s="5" t="str">
        <f aca="false">IF(OR($D28="Converted",$D28="Closed"),"—",IF($E28="","Not Scheduled",IF($E28&lt;CRM_Dashboard!$B$3,"Overdue",IF($E28=CRM_Dashboard!$B$3,"Due Today","Upcoming"))))</f>
        <v>Not Scheduled</v>
      </c>
      <c r="I28" s="5" t="n">
        <f aca="false">COUNTIF(Interaction_Log!$B$2:$B$3000,$A28)</f>
        <v>3</v>
      </c>
      <c r="J28" s="5" t="str">
        <f aca="false">IF(COUNTIFS(Interaction_Log!$B$2:$B$3000,$A28,Interaction_Log!$E$2:$E$3000,"Details Sent")&gt;0,"Yes","No")</f>
        <v>No</v>
      </c>
      <c r="K28" s="2" t="str">
        <f aca="false">IF(AND(COUNTIFS(Interaction_Log!$B$2:$B$3000,$A28,Interaction_Log!$E$2:$E$3000,"Paid")&gt;0,$C28&lt;&gt;"Paid"),"Paid then re-opened","")</f>
        <v/>
      </c>
    </row>
    <row r="29" customFormat="false" ht="15" hidden="false" customHeight="false" outlineLevel="0" collapsed="false">
      <c r="A29" s="2" t="s">
        <v>146</v>
      </c>
      <c r="B29" s="2" t="str">
        <f aca="false">IFERROR(INDEX(Lead_Master!$B$2:$B$1000,MATCH($A29,Lead_Master!$A$2:$A$1000,0)),"")</f>
        <v>Muskan Mehta</v>
      </c>
      <c r="C29" s="2" t="str">
        <f aca="false">IFERROR(LOOKUP(2,1/(Interaction_Log!$B$2:$B$3000=$A29),Interaction_Log!$E$2:$E$3000),"No contact")</f>
        <v>Call Back Later</v>
      </c>
      <c r="D29" s="5" t="str">
        <f aca="false">IFERROR(INDEX(Lists!$B$2:$B$12,MATCH($C29,Lists!$A$2:$A$12,0)),"Unmapped")</f>
        <v>Pending</v>
      </c>
      <c r="E29" s="4" t="n">
        <f aca="false">IFERROR(LOOKUP(2,1/((Interaction_Log!$B$2:$B$3000=$A29)*(Interaction_Log!$G$2:$G$3000&lt;&gt;"")),Interaction_Log!$G$2:$G$3000),"")</f>
        <v>46211</v>
      </c>
      <c r="F29" s="5" t="str">
        <f aca="false">IFERROR(INDEX(Lists!$C$2:$C$12,MATCH($C29,Lists!$A$2:$A$12,0)),"")</f>
        <v>Medium</v>
      </c>
      <c r="G29" s="5" t="str">
        <f aca="false">IFERROR(INDEX(Lists!$D$2:$D$12,MATCH($C29,Lists!$A$2:$A$12,0)),"")</f>
        <v>Call</v>
      </c>
      <c r="H29" s="5" t="str">
        <f aca="false">IF(OR($D29="Converted",$D29="Closed"),"—",IF($E29="","Not Scheduled",IF($E29&lt;CRM_Dashboard!$B$3,"Overdue",IF($E29=CRM_Dashboard!$B$3,"Due Today","Upcoming"))))</f>
        <v>Overdue</v>
      </c>
      <c r="I29" s="5" t="n">
        <f aca="false">COUNTIF(Interaction_Log!$B$2:$B$3000,$A29)</f>
        <v>2</v>
      </c>
      <c r="J29" s="5" t="str">
        <f aca="false">IF(COUNTIFS(Interaction_Log!$B$2:$B$3000,$A29,Interaction_Log!$E$2:$E$3000,"Details Sent")&gt;0,"Yes","No")</f>
        <v>No</v>
      </c>
      <c r="K29" s="2" t="str">
        <f aca="false">IF(AND(COUNTIFS(Interaction_Log!$B$2:$B$3000,$A29,Interaction_Log!$E$2:$E$3000,"Paid")&gt;0,$C29&lt;&gt;"Paid"),"Paid then re-opened","")</f>
        <v/>
      </c>
    </row>
    <row r="30" customFormat="false" ht="15" hidden="false" customHeight="false" outlineLevel="0" collapsed="false">
      <c r="A30" s="2" t="s">
        <v>150</v>
      </c>
      <c r="B30" s="2" t="str">
        <f aca="false">IFERROR(INDEX(Lead_Master!$B$2:$B$1000,MATCH($A30,Lead_Master!$A$2:$A$1000,0)),"")</f>
        <v>Karan Gupta</v>
      </c>
      <c r="C30" s="2" t="str">
        <f aca="false">IFERROR(LOOKUP(2,1/(Interaction_Log!$B$2:$B$3000=$A30),Interaction_Log!$E$2:$E$3000),"No contact")</f>
        <v>Paid</v>
      </c>
      <c r="D30" s="5" t="str">
        <f aca="false">IFERROR(INDEX(Lists!$B$2:$B$12,MATCH($C30,Lists!$A$2:$A$12,0)),"Unmapped")</f>
        <v>Converted</v>
      </c>
      <c r="E30" s="4" t="str">
        <f aca="false">IFERROR(LOOKUP(2,1/((Interaction_Log!$B$2:$B$3000=$A30)*(Interaction_Log!$G$2:$G$3000&lt;&gt;"")),Interaction_Log!$G$2:$G$3000),"")</f>
        <v/>
      </c>
      <c r="F30" s="5" t="str">
        <f aca="false">IFERROR(INDEX(Lists!$C$2:$C$12,MATCH($C30,Lists!$A$2:$A$12,0)),"")</f>
        <v>—</v>
      </c>
      <c r="G30" s="5" t="str">
        <f aca="false">IFERROR(INDEX(Lists!$D$2:$D$12,MATCH($C30,Lists!$A$2:$A$12,0)),"")</f>
        <v>Onboard</v>
      </c>
      <c r="H30" s="5" t="str">
        <f aca="false">IF(OR($D30="Converted",$D30="Closed"),"—",IF($E30="","Not Scheduled",IF($E30&lt;CRM_Dashboard!$B$3,"Overdue",IF($E30=CRM_Dashboard!$B$3,"Due Today","Upcoming"))))</f>
        <v>—</v>
      </c>
      <c r="I30" s="5" t="n">
        <f aca="false">COUNTIF(Interaction_Log!$B$2:$B$3000,$A30)</f>
        <v>3</v>
      </c>
      <c r="J30" s="5" t="str">
        <f aca="false">IF(COUNTIFS(Interaction_Log!$B$2:$B$3000,$A30,Interaction_Log!$E$2:$E$3000,"Details Sent")&gt;0,"Yes","No")</f>
        <v>No</v>
      </c>
      <c r="K30" s="2" t="str">
        <f aca="false">IF(AND(COUNTIFS(Interaction_Log!$B$2:$B$3000,$A30,Interaction_Log!$E$2:$E$3000,"Paid")&gt;0,$C30&lt;&gt;"Paid"),"Paid then re-opened","")</f>
        <v/>
      </c>
    </row>
    <row r="31" customFormat="false" ht="15" hidden="false" customHeight="false" outlineLevel="0" collapsed="false">
      <c r="A31" s="2" t="s">
        <v>153</v>
      </c>
      <c r="B31" s="2" t="str">
        <f aca="false">IFERROR(INDEX(Lead_Master!$B$2:$B$1000,MATCH($A31,Lead_Master!$A$2:$A$1000,0)),"")</f>
        <v>Simran Jain</v>
      </c>
      <c r="C31" s="2" t="str">
        <f aca="false">IFERROR(LOOKUP(2,1/(Interaction_Log!$B$2:$B$3000=$A31),Interaction_Log!$E$2:$E$3000),"No contact")</f>
        <v>DNP</v>
      </c>
      <c r="D31" s="5" t="str">
        <f aca="false">IFERROR(INDEX(Lists!$B$2:$B$12,MATCH($C31,Lists!$A$2:$A$12,0)),"Unmapped")</f>
        <v>Pending</v>
      </c>
      <c r="E31" s="4" t="str">
        <f aca="false">IFERROR(LOOKUP(2,1/((Interaction_Log!$B$2:$B$3000=$A31)*(Interaction_Log!$G$2:$G$3000&lt;&gt;"")),Interaction_Log!$G$2:$G$3000),"")</f>
        <v/>
      </c>
      <c r="F31" s="5" t="str">
        <f aca="false">IFERROR(INDEX(Lists!$C$2:$C$12,MATCH($C31,Lists!$A$2:$A$12,0)),"")</f>
        <v>Low</v>
      </c>
      <c r="G31" s="5" t="str">
        <f aca="false">IFERROR(INDEX(Lists!$D$2:$D$12,MATCH($C31,Lists!$A$2:$A$12,0)),"")</f>
        <v>Retry</v>
      </c>
      <c r="H31" s="5" t="str">
        <f aca="false">IF(OR($D31="Converted",$D31="Closed"),"—",IF($E31="","Not Scheduled",IF($E31&lt;CRM_Dashboard!$B$3,"Overdue",IF($E31=CRM_Dashboard!$B$3,"Due Today","Upcoming"))))</f>
        <v>Not Scheduled</v>
      </c>
      <c r="I31" s="5" t="n">
        <f aca="false">COUNTIF(Interaction_Log!$B$2:$B$3000,$A31)</f>
        <v>4</v>
      </c>
      <c r="J31" s="5" t="str">
        <f aca="false">IF(COUNTIFS(Interaction_Log!$B$2:$B$3000,$A31,Interaction_Log!$E$2:$E$3000,"Details Sent")&gt;0,"Yes","No")</f>
        <v>No</v>
      </c>
      <c r="K31" s="2" t="str">
        <f aca="false">IF(AND(COUNTIFS(Interaction_Log!$B$2:$B$3000,$A31,Interaction_Log!$E$2:$E$3000,"Paid")&gt;0,$C31&lt;&gt;"Paid"),"Paid then re-opened","")</f>
        <v/>
      </c>
    </row>
    <row r="32" customFormat="false" ht="15" hidden="false" customHeight="false" outlineLevel="0" collapsed="false">
      <c r="A32" s="2" t="s">
        <v>157</v>
      </c>
      <c r="B32" s="2" t="str">
        <f aca="false">IFERROR(INDEX(Lead_Master!$B$2:$B$1000,MATCH($A32,Lead_Master!$A$2:$A$1000,0)),"")</f>
        <v>Simran Agarwal</v>
      </c>
      <c r="C32" s="2" t="str">
        <f aca="false">IFERROR(LOOKUP(2,1/(Interaction_Log!$B$2:$B$3000=$A32),Interaction_Log!$E$2:$E$3000),"No contact")</f>
        <v>Follow Up</v>
      </c>
      <c r="D32" s="5" t="str">
        <f aca="false">IFERROR(INDEX(Lists!$B$2:$B$12,MATCH($C32,Lists!$A$2:$A$12,0)),"Unmapped")</f>
        <v>Follow Up</v>
      </c>
      <c r="E32" s="4" t="n">
        <f aca="false">IFERROR(LOOKUP(2,1/((Interaction_Log!$B$2:$B$3000=$A32)*(Interaction_Log!$G$2:$G$3000&lt;&gt;"")),Interaction_Log!$G$2:$G$3000),"")</f>
        <v>46251</v>
      </c>
      <c r="F32" s="5" t="str">
        <f aca="false">IFERROR(INDEX(Lists!$C$2:$C$12,MATCH($C32,Lists!$A$2:$A$12,0)),"")</f>
        <v>High</v>
      </c>
      <c r="G32" s="5" t="str">
        <f aca="false">IFERROR(INDEX(Lists!$D$2:$D$12,MATCH($C32,Lists!$A$2:$A$12,0)),"")</f>
        <v>Call</v>
      </c>
      <c r="H32" s="5" t="str">
        <f aca="false">IF(OR($D32="Converted",$D32="Closed"),"—",IF($E32="","Not Scheduled",IF($E32&lt;CRM_Dashboard!$B$3,"Overdue",IF($E32=CRM_Dashboard!$B$3,"Due Today","Upcoming"))))</f>
        <v>Overdue</v>
      </c>
      <c r="I32" s="5" t="n">
        <f aca="false">COUNTIF(Interaction_Log!$B$2:$B$3000,$A32)</f>
        <v>4</v>
      </c>
      <c r="J32" s="5" t="str">
        <f aca="false">IF(COUNTIFS(Interaction_Log!$B$2:$B$3000,$A32,Interaction_Log!$E$2:$E$3000,"Details Sent")&gt;0,"Yes","No")</f>
        <v>Yes</v>
      </c>
      <c r="K32" s="2" t="str">
        <f aca="false">IF(AND(COUNTIFS(Interaction_Log!$B$2:$B$3000,$A32,Interaction_Log!$E$2:$E$3000,"Paid")&gt;0,$C32&lt;&gt;"Paid"),"Paid then re-opened","")</f>
        <v/>
      </c>
    </row>
    <row r="33" customFormat="false" ht="15" hidden="false" customHeight="false" outlineLevel="0" collapsed="false">
      <c r="A33" s="2" t="s">
        <v>161</v>
      </c>
      <c r="B33" s="2" t="str">
        <f aca="false">IFERROR(INDEX(Lead_Master!$B$2:$B$1000,MATCH($A33,Lead_Master!$A$2:$A$1000,0)),"")</f>
        <v>Vivek Srivastava</v>
      </c>
      <c r="C33" s="2" t="str">
        <f aca="false">IFERROR(LOOKUP(2,1/(Interaction_Log!$B$2:$B$3000=$A33),Interaction_Log!$E$2:$E$3000),"No contact")</f>
        <v>Wrong Number</v>
      </c>
      <c r="D33" s="5" t="str">
        <f aca="false">IFERROR(INDEX(Lists!$B$2:$B$12,MATCH($C33,Lists!$A$2:$A$12,0)),"Unmapped")</f>
        <v>Closed</v>
      </c>
      <c r="E33" s="4" t="str">
        <f aca="false">IFERROR(LOOKUP(2,1/((Interaction_Log!$B$2:$B$3000=$A33)*(Interaction_Log!$G$2:$G$3000&lt;&gt;"")),Interaction_Log!$G$2:$G$3000),"")</f>
        <v/>
      </c>
      <c r="F33" s="5" t="str">
        <f aca="false">IFERROR(INDEX(Lists!$C$2:$C$12,MATCH($C33,Lists!$A$2:$A$12,0)),"")</f>
        <v>—</v>
      </c>
      <c r="G33" s="5" t="str">
        <f aca="false">IFERROR(INDEX(Lists!$D$2:$D$12,MATCH($C33,Lists!$A$2:$A$12,0)),"")</f>
        <v>Verify number</v>
      </c>
      <c r="H33" s="5" t="str">
        <f aca="false">IF(OR($D33="Converted",$D33="Closed"),"—",IF($E33="","Not Scheduled",IF($E33&lt;CRM_Dashboard!$B$3,"Overdue",IF($E33=CRM_Dashboard!$B$3,"Due Today","Upcoming"))))</f>
        <v>—</v>
      </c>
      <c r="I33" s="5" t="n">
        <f aca="false">COUNTIF(Interaction_Log!$B$2:$B$3000,$A33)</f>
        <v>3</v>
      </c>
      <c r="J33" s="5" t="str">
        <f aca="false">IF(COUNTIFS(Interaction_Log!$B$2:$B$3000,$A33,Interaction_Log!$E$2:$E$3000,"Details Sent")&gt;0,"Yes","No")</f>
        <v>No</v>
      </c>
      <c r="K33" s="2" t="str">
        <f aca="false">IF(AND(COUNTIFS(Interaction_Log!$B$2:$B$3000,$A33,Interaction_Log!$E$2:$E$3000,"Paid")&gt;0,$C33&lt;&gt;"Paid"),"Paid then re-opened","")</f>
        <v/>
      </c>
    </row>
    <row r="34" customFormat="false" ht="15" hidden="false" customHeight="false" outlineLevel="0" collapsed="false">
      <c r="A34" s="2" t="s">
        <v>165</v>
      </c>
      <c r="B34" s="2" t="str">
        <f aca="false">IFERROR(INDEX(Lead_Master!$B$2:$B$1000,MATCH($A34,Lead_Master!$A$2:$A$1000,0)),"")</f>
        <v>Riya Mehta</v>
      </c>
      <c r="C34" s="2" t="str">
        <f aca="false">IFERROR(LOOKUP(2,1/(Interaction_Log!$B$2:$B$3000=$A34),Interaction_Log!$E$2:$E$3000),"No contact")</f>
        <v>Call Back Later</v>
      </c>
      <c r="D34" s="5" t="str">
        <f aca="false">IFERROR(INDEX(Lists!$B$2:$B$12,MATCH($C34,Lists!$A$2:$A$12,0)),"Unmapped")</f>
        <v>Pending</v>
      </c>
      <c r="E34" s="4" t="n">
        <f aca="false">IFERROR(LOOKUP(2,1/((Interaction_Log!$B$2:$B$3000=$A34)*(Interaction_Log!$G$2:$G$3000&lt;&gt;"")),Interaction_Log!$G$2:$G$3000),"")</f>
        <v>46290</v>
      </c>
      <c r="F34" s="5" t="str">
        <f aca="false">IFERROR(INDEX(Lists!$C$2:$C$12,MATCH($C34,Lists!$A$2:$A$12,0)),"")</f>
        <v>Medium</v>
      </c>
      <c r="G34" s="5" t="str">
        <f aca="false">IFERROR(INDEX(Lists!$D$2:$D$12,MATCH($C34,Lists!$A$2:$A$12,0)),"")</f>
        <v>Call</v>
      </c>
      <c r="H34" s="5" t="str">
        <f aca="false">IF(OR($D34="Converted",$D34="Closed"),"—",IF($E34="","Not Scheduled",IF($E34&lt;CRM_Dashboard!$B$3,"Overdue",IF($E34=CRM_Dashboard!$B$3,"Due Today","Upcoming"))))</f>
        <v>Overdue</v>
      </c>
      <c r="I34" s="5" t="n">
        <f aca="false">COUNTIF(Interaction_Log!$B$2:$B$3000,$A34)</f>
        <v>4</v>
      </c>
      <c r="J34" s="5" t="str">
        <f aca="false">IF(COUNTIFS(Interaction_Log!$B$2:$B$3000,$A34,Interaction_Log!$E$2:$E$3000,"Details Sent")&gt;0,"Yes","No")</f>
        <v>No</v>
      </c>
      <c r="K34" s="2" t="str">
        <f aca="false">IF(AND(COUNTIFS(Interaction_Log!$B$2:$B$3000,$A34,Interaction_Log!$E$2:$E$3000,"Paid")&gt;0,$C34&lt;&gt;"Paid"),"Paid then re-opened","")</f>
        <v/>
      </c>
    </row>
    <row r="35" customFormat="false" ht="15" hidden="false" customHeight="false" outlineLevel="0" collapsed="false">
      <c r="A35" s="2" t="s">
        <v>170</v>
      </c>
      <c r="B35" s="2" t="str">
        <f aca="false">IFERROR(INDEX(Lead_Master!$B$2:$B$1000,MATCH($A35,Lead_Master!$A$2:$A$1000,0)),"")</f>
        <v>Kartik Mishra</v>
      </c>
      <c r="C35" s="2" t="str">
        <f aca="false">IFERROR(LOOKUP(2,1/(Interaction_Log!$B$2:$B$3000=$A35),Interaction_Log!$E$2:$E$3000),"No contact")</f>
        <v>Not Reachable</v>
      </c>
      <c r="D35" s="5" t="str">
        <f aca="false">IFERROR(INDEX(Lists!$B$2:$B$12,MATCH($C35,Lists!$A$2:$A$12,0)),"Unmapped")</f>
        <v>Pending</v>
      </c>
      <c r="E35" s="4" t="str">
        <f aca="false">IFERROR(LOOKUP(2,1/((Interaction_Log!$B$2:$B$3000=$A35)*(Interaction_Log!$G$2:$G$3000&lt;&gt;"")),Interaction_Log!$G$2:$G$3000),"")</f>
        <v/>
      </c>
      <c r="F35" s="5" t="str">
        <f aca="false">IFERROR(INDEX(Lists!$C$2:$C$12,MATCH($C35,Lists!$A$2:$A$12,0)),"")</f>
        <v>Low</v>
      </c>
      <c r="G35" s="5" t="str">
        <f aca="false">IFERROR(INDEX(Lists!$D$2:$D$12,MATCH($C35,Lists!$A$2:$A$12,0)),"")</f>
        <v>Retry</v>
      </c>
      <c r="H35" s="5" t="str">
        <f aca="false">IF(OR($D35="Converted",$D35="Closed"),"—",IF($E35="","Not Scheduled",IF($E35&lt;CRM_Dashboard!$B$3,"Overdue",IF($E35=CRM_Dashboard!$B$3,"Due Today","Upcoming"))))</f>
        <v>Not Scheduled</v>
      </c>
      <c r="I35" s="5" t="n">
        <f aca="false">COUNTIF(Interaction_Log!$B$2:$B$3000,$A35)</f>
        <v>2</v>
      </c>
      <c r="J35" s="5" t="str">
        <f aca="false">IF(COUNTIFS(Interaction_Log!$B$2:$B$3000,$A35,Interaction_Log!$E$2:$E$3000,"Details Sent")&gt;0,"Yes","No")</f>
        <v>Yes</v>
      </c>
      <c r="K35" s="2" t="str">
        <f aca="false">IF(AND(COUNTIFS(Interaction_Log!$B$2:$B$3000,$A35,Interaction_Log!$E$2:$E$3000,"Paid")&gt;0,$C35&lt;&gt;"Paid"),"Paid then re-opened","")</f>
        <v/>
      </c>
    </row>
    <row r="36" customFormat="false" ht="15" hidden="false" customHeight="false" outlineLevel="0" collapsed="false">
      <c r="A36" s="2" t="s">
        <v>174</v>
      </c>
      <c r="B36" s="2" t="str">
        <f aca="false">IFERROR(INDEX(Lead_Master!$B$2:$B$1000,MATCH($A36,Lead_Master!$A$2:$A$1000,0)),"")</f>
        <v>Ananya Rathore</v>
      </c>
      <c r="C36" s="2" t="str">
        <f aca="false">IFERROR(LOOKUP(2,1/(Interaction_Log!$B$2:$B$3000=$A36),Interaction_Log!$E$2:$E$3000),"No contact")</f>
        <v>DNP</v>
      </c>
      <c r="D36" s="5" t="str">
        <f aca="false">IFERROR(INDEX(Lists!$B$2:$B$12,MATCH($C36,Lists!$A$2:$A$12,0)),"Unmapped")</f>
        <v>Pending</v>
      </c>
      <c r="E36" s="4" t="str">
        <f aca="false">IFERROR(LOOKUP(2,1/((Interaction_Log!$B$2:$B$3000=$A36)*(Interaction_Log!$G$2:$G$3000&lt;&gt;"")),Interaction_Log!$G$2:$G$3000),"")</f>
        <v/>
      </c>
      <c r="F36" s="5" t="str">
        <f aca="false">IFERROR(INDEX(Lists!$C$2:$C$12,MATCH($C36,Lists!$A$2:$A$12,0)),"")</f>
        <v>Low</v>
      </c>
      <c r="G36" s="5" t="str">
        <f aca="false">IFERROR(INDEX(Lists!$D$2:$D$12,MATCH($C36,Lists!$A$2:$A$12,0)),"")</f>
        <v>Retry</v>
      </c>
      <c r="H36" s="5" t="str">
        <f aca="false">IF(OR($D36="Converted",$D36="Closed"),"—",IF($E36="","Not Scheduled",IF($E36&lt;CRM_Dashboard!$B$3,"Overdue",IF($E36=CRM_Dashboard!$B$3,"Due Today","Upcoming"))))</f>
        <v>Not Scheduled</v>
      </c>
      <c r="I36" s="5" t="n">
        <f aca="false">COUNTIF(Interaction_Log!$B$2:$B$3000,$A36)</f>
        <v>3</v>
      </c>
      <c r="J36" s="5" t="str">
        <f aca="false">IF(COUNTIFS(Interaction_Log!$B$2:$B$3000,$A36,Interaction_Log!$E$2:$E$3000,"Details Sent")&gt;0,"Yes","No")</f>
        <v>No</v>
      </c>
      <c r="K36" s="2" t="str">
        <f aca="false">IF(AND(COUNTIFS(Interaction_Log!$B$2:$B$3000,$A36,Interaction_Log!$E$2:$E$3000,"Paid")&gt;0,$C36&lt;&gt;"Paid"),"Paid then re-opened","")</f>
        <v/>
      </c>
    </row>
    <row r="37" customFormat="false" ht="15" hidden="false" customHeight="false" outlineLevel="0" collapsed="false">
      <c r="A37" s="2" t="s">
        <v>178</v>
      </c>
      <c r="B37" s="2" t="str">
        <f aca="false">IFERROR(INDEX(Lead_Master!$B$2:$B$1000,MATCH($A37,Lead_Master!$A$2:$A$1000,0)),"")</f>
        <v>Ishita Agarwal</v>
      </c>
      <c r="C37" s="2" t="str">
        <f aca="false">IFERROR(LOOKUP(2,1/(Interaction_Log!$B$2:$B$3000=$A37),Interaction_Log!$E$2:$E$3000),"No contact")</f>
        <v>Wrong Number</v>
      </c>
      <c r="D37" s="5" t="str">
        <f aca="false">IFERROR(INDEX(Lists!$B$2:$B$12,MATCH($C37,Lists!$A$2:$A$12,0)),"Unmapped")</f>
        <v>Closed</v>
      </c>
      <c r="E37" s="4" t="str">
        <f aca="false">IFERROR(LOOKUP(2,1/((Interaction_Log!$B$2:$B$3000=$A37)*(Interaction_Log!$G$2:$G$3000&lt;&gt;"")),Interaction_Log!$G$2:$G$3000),"")</f>
        <v/>
      </c>
      <c r="F37" s="5" t="str">
        <f aca="false">IFERROR(INDEX(Lists!$C$2:$C$12,MATCH($C37,Lists!$A$2:$A$12,0)),"")</f>
        <v>—</v>
      </c>
      <c r="G37" s="5" t="str">
        <f aca="false">IFERROR(INDEX(Lists!$D$2:$D$12,MATCH($C37,Lists!$A$2:$A$12,0)),"")</f>
        <v>Verify number</v>
      </c>
      <c r="H37" s="5" t="str">
        <f aca="false">IF(OR($D37="Converted",$D37="Closed"),"—",IF($E37="","Not Scheduled",IF($E37&lt;CRM_Dashboard!$B$3,"Overdue",IF($E37=CRM_Dashboard!$B$3,"Due Today","Upcoming"))))</f>
        <v>—</v>
      </c>
      <c r="I37" s="5" t="n">
        <f aca="false">COUNTIF(Interaction_Log!$B$2:$B$3000,$A37)</f>
        <v>4</v>
      </c>
      <c r="J37" s="5" t="str">
        <f aca="false">IF(COUNTIFS(Interaction_Log!$B$2:$B$3000,$A37,Interaction_Log!$E$2:$E$3000,"Details Sent")&gt;0,"Yes","No")</f>
        <v>Yes</v>
      </c>
      <c r="K37" s="2" t="str">
        <f aca="false">IF(AND(COUNTIFS(Interaction_Log!$B$2:$B$3000,$A37,Interaction_Log!$E$2:$E$3000,"Paid")&gt;0,$C37&lt;&gt;"Paid"),"Paid then re-opened","")</f>
        <v/>
      </c>
    </row>
    <row r="38" customFormat="false" ht="15" hidden="false" customHeight="false" outlineLevel="0" collapsed="false">
      <c r="A38" s="2" t="s">
        <v>182</v>
      </c>
      <c r="B38" s="2" t="str">
        <f aca="false">IFERROR(INDEX(Lead_Master!$B$2:$B$1000,MATCH($A38,Lead_Master!$A$2:$A$1000,0)),"")</f>
        <v>Aditya Pandey</v>
      </c>
      <c r="C38" s="2" t="str">
        <f aca="false">IFERROR(LOOKUP(2,1/(Interaction_Log!$B$2:$B$3000=$A38),Interaction_Log!$E$2:$E$3000),"No contact")</f>
        <v>Details Sent</v>
      </c>
      <c r="D38" s="5" t="str">
        <f aca="false">IFERROR(INDEX(Lists!$B$2:$B$12,MATCH($C38,Lists!$A$2:$A$12,0)),"Unmapped")</f>
        <v>Follow Up</v>
      </c>
      <c r="E38" s="4" t="n">
        <f aca="false">IFERROR(LOOKUP(2,1/((Interaction_Log!$B$2:$B$3000=$A38)*(Interaction_Log!$G$2:$G$3000&lt;&gt;"")),Interaction_Log!$G$2:$G$3000),"")</f>
        <v>46244</v>
      </c>
      <c r="F38" s="5" t="str">
        <f aca="false">IFERROR(INDEX(Lists!$C$2:$C$12,MATCH($C38,Lists!$A$2:$A$12,0)),"")</f>
        <v>High</v>
      </c>
      <c r="G38" s="5" t="str">
        <f aca="false">IFERROR(INDEX(Lists!$D$2:$D$12,MATCH($C38,Lists!$A$2:$A$12,0)),"")</f>
        <v>Call</v>
      </c>
      <c r="H38" s="5" t="str">
        <f aca="false">IF(OR($D38="Converted",$D38="Closed"),"—",IF($E38="","Not Scheduled",IF($E38&lt;CRM_Dashboard!$B$3,"Overdue",IF($E38=CRM_Dashboard!$B$3,"Due Today","Upcoming"))))</f>
        <v>Overdue</v>
      </c>
      <c r="I38" s="5" t="n">
        <f aca="false">COUNTIF(Interaction_Log!$B$2:$B$3000,$A38)</f>
        <v>1</v>
      </c>
      <c r="J38" s="5" t="str">
        <f aca="false">IF(COUNTIFS(Interaction_Log!$B$2:$B$3000,$A38,Interaction_Log!$E$2:$E$3000,"Details Sent")&gt;0,"Yes","No")</f>
        <v>Yes</v>
      </c>
      <c r="K38" s="2" t="str">
        <f aca="false">IF(AND(COUNTIFS(Interaction_Log!$B$2:$B$3000,$A38,Interaction_Log!$E$2:$E$3000,"Paid")&gt;0,$C38&lt;&gt;"Paid"),"Paid then re-opened","")</f>
        <v/>
      </c>
    </row>
    <row r="39" customFormat="false" ht="15" hidden="false" customHeight="false" outlineLevel="0" collapsed="false">
      <c r="A39" s="2" t="s">
        <v>185</v>
      </c>
      <c r="B39" s="2" t="str">
        <f aca="false">IFERROR(INDEX(Lead_Master!$B$2:$B$1000,MATCH($A39,Lead_Master!$A$2:$A$1000,0)),"")</f>
        <v>Mehak Srivastava</v>
      </c>
      <c r="C39" s="2" t="str">
        <f aca="false">IFERROR(LOOKUP(2,1/(Interaction_Log!$B$2:$B$3000=$A39),Interaction_Log!$E$2:$E$3000),"No contact")</f>
        <v>DNP</v>
      </c>
      <c r="D39" s="5" t="str">
        <f aca="false">IFERROR(INDEX(Lists!$B$2:$B$12,MATCH($C39,Lists!$A$2:$A$12,0)),"Unmapped")</f>
        <v>Pending</v>
      </c>
      <c r="E39" s="4" t="str">
        <f aca="false">IFERROR(LOOKUP(2,1/((Interaction_Log!$B$2:$B$3000=$A39)*(Interaction_Log!$G$2:$G$3000&lt;&gt;"")),Interaction_Log!$G$2:$G$3000),"")</f>
        <v/>
      </c>
      <c r="F39" s="5" t="str">
        <f aca="false">IFERROR(INDEX(Lists!$C$2:$C$12,MATCH($C39,Lists!$A$2:$A$12,0)),"")</f>
        <v>Low</v>
      </c>
      <c r="G39" s="5" t="str">
        <f aca="false">IFERROR(INDEX(Lists!$D$2:$D$12,MATCH($C39,Lists!$A$2:$A$12,0)),"")</f>
        <v>Retry</v>
      </c>
      <c r="H39" s="5" t="str">
        <f aca="false">IF(OR($D39="Converted",$D39="Closed"),"—",IF($E39="","Not Scheduled",IF($E39&lt;CRM_Dashboard!$B$3,"Overdue",IF($E39=CRM_Dashboard!$B$3,"Due Today","Upcoming"))))</f>
        <v>Not Scheduled</v>
      </c>
      <c r="I39" s="5" t="n">
        <f aca="false">COUNTIF(Interaction_Log!$B$2:$B$3000,$A39)</f>
        <v>4</v>
      </c>
      <c r="J39" s="5" t="str">
        <f aca="false">IF(COUNTIFS(Interaction_Log!$B$2:$B$3000,$A39,Interaction_Log!$E$2:$E$3000,"Details Sent")&gt;0,"Yes","No")</f>
        <v>Yes</v>
      </c>
      <c r="K39" s="2" t="str">
        <f aca="false">IF(AND(COUNTIFS(Interaction_Log!$B$2:$B$3000,$A39,Interaction_Log!$E$2:$E$3000,"Paid")&gt;0,$C39&lt;&gt;"Paid"),"Paid then re-opened","")</f>
        <v/>
      </c>
    </row>
    <row r="40" customFormat="false" ht="15" hidden="false" customHeight="false" outlineLevel="0" collapsed="false">
      <c r="A40" s="2" t="s">
        <v>189</v>
      </c>
      <c r="B40" s="2" t="str">
        <f aca="false">IFERROR(INDEX(Lead_Master!$B$2:$B$1000,MATCH($A40,Lead_Master!$A$2:$A$1000,0)),"")</f>
        <v>Kartik Verma</v>
      </c>
      <c r="C40" s="2" t="str">
        <f aca="false">IFERROR(LOOKUP(2,1/(Interaction_Log!$B$2:$B$3000=$A40),Interaction_Log!$E$2:$E$3000),"No contact")</f>
        <v>Call Back Later</v>
      </c>
      <c r="D40" s="5" t="str">
        <f aca="false">IFERROR(INDEX(Lists!$B$2:$B$12,MATCH($C40,Lists!$A$2:$A$12,0)),"Unmapped")</f>
        <v>Pending</v>
      </c>
      <c r="E40" s="4" t="n">
        <f aca="false">IFERROR(LOOKUP(2,1/((Interaction_Log!$B$2:$B$3000=$A40)*(Interaction_Log!$G$2:$G$3000&lt;&gt;"")),Interaction_Log!$G$2:$G$3000),"")</f>
        <v>46243</v>
      </c>
      <c r="F40" s="5" t="str">
        <f aca="false">IFERROR(INDEX(Lists!$C$2:$C$12,MATCH($C40,Lists!$A$2:$A$12,0)),"")</f>
        <v>Medium</v>
      </c>
      <c r="G40" s="5" t="str">
        <f aca="false">IFERROR(INDEX(Lists!$D$2:$D$12,MATCH($C40,Lists!$A$2:$A$12,0)),"")</f>
        <v>Call</v>
      </c>
      <c r="H40" s="5" t="str">
        <f aca="false">IF(OR($D40="Converted",$D40="Closed"),"—",IF($E40="","Not Scheduled",IF($E40&lt;CRM_Dashboard!$B$3,"Overdue",IF($E40=CRM_Dashboard!$B$3,"Due Today","Upcoming"))))</f>
        <v>Overdue</v>
      </c>
      <c r="I40" s="5" t="n">
        <f aca="false">COUNTIF(Interaction_Log!$B$2:$B$3000,$A40)</f>
        <v>2</v>
      </c>
      <c r="J40" s="5" t="str">
        <f aca="false">IF(COUNTIFS(Interaction_Log!$B$2:$B$3000,$A40,Interaction_Log!$E$2:$E$3000,"Details Sent")&gt;0,"Yes","No")</f>
        <v>No</v>
      </c>
      <c r="K40" s="2" t="str">
        <f aca="false">IF(AND(COUNTIFS(Interaction_Log!$B$2:$B$3000,$A40,Interaction_Log!$E$2:$E$3000,"Paid")&gt;0,$C40&lt;&gt;"Paid"),"Paid then re-opened","")</f>
        <v/>
      </c>
    </row>
    <row r="41" customFormat="false" ht="15" hidden="false" customHeight="false" outlineLevel="0" collapsed="false">
      <c r="A41" s="2" t="s">
        <v>193</v>
      </c>
      <c r="B41" s="2" t="str">
        <f aca="false">IFERROR(INDEX(Lead_Master!$B$2:$B$1000,MATCH($A41,Lead_Master!$A$2:$A$1000,0)),"")</f>
        <v>Pooja Mehta</v>
      </c>
      <c r="C41" s="2" t="str">
        <f aca="false">IFERROR(LOOKUP(2,1/(Interaction_Log!$B$2:$B$3000=$A41),Interaction_Log!$E$2:$E$3000),"No contact")</f>
        <v>Wrong Number</v>
      </c>
      <c r="D41" s="5" t="str">
        <f aca="false">IFERROR(INDEX(Lists!$B$2:$B$12,MATCH($C41,Lists!$A$2:$A$12,0)),"Unmapped")</f>
        <v>Closed</v>
      </c>
      <c r="E41" s="4" t="str">
        <f aca="false">IFERROR(LOOKUP(2,1/((Interaction_Log!$B$2:$B$3000=$A41)*(Interaction_Log!$G$2:$G$3000&lt;&gt;"")),Interaction_Log!$G$2:$G$3000),"")</f>
        <v/>
      </c>
      <c r="F41" s="5" t="str">
        <f aca="false">IFERROR(INDEX(Lists!$C$2:$C$12,MATCH($C41,Lists!$A$2:$A$12,0)),"")</f>
        <v>—</v>
      </c>
      <c r="G41" s="5" t="str">
        <f aca="false">IFERROR(INDEX(Lists!$D$2:$D$12,MATCH($C41,Lists!$A$2:$A$12,0)),"")</f>
        <v>Verify number</v>
      </c>
      <c r="H41" s="5" t="str">
        <f aca="false">IF(OR($D41="Converted",$D41="Closed"),"—",IF($E41="","Not Scheduled",IF($E41&lt;CRM_Dashboard!$B$3,"Overdue",IF($E41=CRM_Dashboard!$B$3,"Due Today","Upcoming"))))</f>
        <v>—</v>
      </c>
      <c r="I41" s="5" t="n">
        <f aca="false">COUNTIF(Interaction_Log!$B$2:$B$3000,$A41)</f>
        <v>4</v>
      </c>
      <c r="J41" s="5" t="str">
        <f aca="false">IF(COUNTIFS(Interaction_Log!$B$2:$B$3000,$A41,Interaction_Log!$E$2:$E$3000,"Details Sent")&gt;0,"Yes","No")</f>
        <v>Yes</v>
      </c>
      <c r="K41" s="2" t="str">
        <f aca="false">IF(AND(COUNTIFS(Interaction_Log!$B$2:$B$3000,$A41,Interaction_Log!$E$2:$E$3000,"Paid")&gt;0,$C41&lt;&gt;"Paid"),"Paid then re-opened","")</f>
        <v/>
      </c>
    </row>
    <row r="42" customFormat="false" ht="15" hidden="false" customHeight="false" outlineLevel="0" collapsed="false">
      <c r="A42" s="2" t="s">
        <v>197</v>
      </c>
      <c r="B42" s="2" t="str">
        <f aca="false">IFERROR(INDEX(Lead_Master!$B$2:$B$1000,MATCH($A42,Lead_Master!$A$2:$A$1000,0)),"")</f>
        <v>Rohan Sinha</v>
      </c>
      <c r="C42" s="2" t="str">
        <f aca="false">IFERROR(LOOKUP(2,1/(Interaction_Log!$B$2:$B$3000=$A42),Interaction_Log!$E$2:$E$3000),"No contact")</f>
        <v>Wrong Number</v>
      </c>
      <c r="D42" s="5" t="str">
        <f aca="false">IFERROR(INDEX(Lists!$B$2:$B$12,MATCH($C42,Lists!$A$2:$A$12,0)),"Unmapped")</f>
        <v>Closed</v>
      </c>
      <c r="E42" s="4" t="str">
        <f aca="false">IFERROR(LOOKUP(2,1/((Interaction_Log!$B$2:$B$3000=$A42)*(Interaction_Log!$G$2:$G$3000&lt;&gt;"")),Interaction_Log!$G$2:$G$3000),"")</f>
        <v/>
      </c>
      <c r="F42" s="5" t="str">
        <f aca="false">IFERROR(INDEX(Lists!$C$2:$C$12,MATCH($C42,Lists!$A$2:$A$12,0)),"")</f>
        <v>—</v>
      </c>
      <c r="G42" s="5" t="str">
        <f aca="false">IFERROR(INDEX(Lists!$D$2:$D$12,MATCH($C42,Lists!$A$2:$A$12,0)),"")</f>
        <v>Verify number</v>
      </c>
      <c r="H42" s="5" t="str">
        <f aca="false">IF(OR($D42="Converted",$D42="Closed"),"—",IF($E42="","Not Scheduled",IF($E42&lt;CRM_Dashboard!$B$3,"Overdue",IF($E42=CRM_Dashboard!$B$3,"Due Today","Upcoming"))))</f>
        <v>—</v>
      </c>
      <c r="I42" s="5" t="n">
        <f aca="false">COUNTIF(Interaction_Log!$B$2:$B$3000,$A42)</f>
        <v>4</v>
      </c>
      <c r="J42" s="5" t="str">
        <f aca="false">IF(COUNTIFS(Interaction_Log!$B$2:$B$3000,$A42,Interaction_Log!$E$2:$E$3000,"Details Sent")&gt;0,"Yes","No")</f>
        <v>Yes</v>
      </c>
      <c r="K42" s="2" t="str">
        <f aca="false">IF(AND(COUNTIFS(Interaction_Log!$B$2:$B$3000,$A42,Interaction_Log!$E$2:$E$3000,"Paid")&gt;0,$C42&lt;&gt;"Paid"),"Paid then re-opened","")</f>
        <v/>
      </c>
    </row>
    <row r="43" customFormat="false" ht="15" hidden="false" customHeight="false" outlineLevel="0" collapsed="false">
      <c r="A43" s="2" t="s">
        <v>201</v>
      </c>
      <c r="B43" s="2" t="str">
        <f aca="false">IFERROR(INDEX(Lead_Master!$B$2:$B$1000,MATCH($A43,Lead_Master!$A$2:$A$1000,0)),"")</f>
        <v>Yash Singh</v>
      </c>
      <c r="C43" s="2" t="str">
        <f aca="false">IFERROR(LOOKUP(2,1/(Interaction_Log!$B$2:$B$3000=$A43),Interaction_Log!$E$2:$E$3000),"No contact")</f>
        <v>Details Sent</v>
      </c>
      <c r="D43" s="5" t="str">
        <f aca="false">IFERROR(INDEX(Lists!$B$2:$B$12,MATCH($C43,Lists!$A$2:$A$12,0)),"Unmapped")</f>
        <v>Follow Up</v>
      </c>
      <c r="E43" s="4" t="n">
        <f aca="false">IFERROR(LOOKUP(2,1/((Interaction_Log!$B$2:$B$3000=$A43)*(Interaction_Log!$G$2:$G$3000&lt;&gt;"")),Interaction_Log!$G$2:$G$3000),"")</f>
        <v>46273</v>
      </c>
      <c r="F43" s="5" t="str">
        <f aca="false">IFERROR(INDEX(Lists!$C$2:$C$12,MATCH($C43,Lists!$A$2:$A$12,0)),"")</f>
        <v>High</v>
      </c>
      <c r="G43" s="5" t="str">
        <f aca="false">IFERROR(INDEX(Lists!$D$2:$D$12,MATCH($C43,Lists!$A$2:$A$12,0)),"")</f>
        <v>Call</v>
      </c>
      <c r="H43" s="5" t="str">
        <f aca="false">IF(OR($D43="Converted",$D43="Closed"),"—",IF($E43="","Not Scheduled",IF($E43&lt;CRM_Dashboard!$B$3,"Overdue",IF($E43=CRM_Dashboard!$B$3,"Due Today","Upcoming"))))</f>
        <v>Overdue</v>
      </c>
      <c r="I43" s="5" t="n">
        <f aca="false">COUNTIF(Interaction_Log!$B$2:$B$3000,$A43)</f>
        <v>2</v>
      </c>
      <c r="J43" s="5" t="str">
        <f aca="false">IF(COUNTIFS(Interaction_Log!$B$2:$B$3000,$A43,Interaction_Log!$E$2:$E$3000,"Details Sent")&gt;0,"Yes","No")</f>
        <v>Yes</v>
      </c>
      <c r="K43" s="2" t="str">
        <f aca="false">IF(AND(COUNTIFS(Interaction_Log!$B$2:$B$3000,$A43,Interaction_Log!$E$2:$E$3000,"Paid")&gt;0,$C43&lt;&gt;"Paid"),"Paid then re-opened","")</f>
        <v/>
      </c>
    </row>
    <row r="44" customFormat="false" ht="15" hidden="false" customHeight="false" outlineLevel="0" collapsed="false">
      <c r="A44" s="2" t="s">
        <v>205</v>
      </c>
      <c r="B44" s="2" t="str">
        <f aca="false">IFERROR(INDEX(Lead_Master!$B$2:$B$1000,MATCH($A44,Lead_Master!$A$2:$A$1000,0)),"")</f>
        <v>Varun Mishra</v>
      </c>
      <c r="C44" s="2" t="str">
        <f aca="false">IFERROR(LOOKUP(2,1/(Interaction_Log!$B$2:$B$3000=$A44),Interaction_Log!$E$2:$E$3000),"No contact")</f>
        <v>DNP</v>
      </c>
      <c r="D44" s="5" t="str">
        <f aca="false">IFERROR(INDEX(Lists!$B$2:$B$12,MATCH($C44,Lists!$A$2:$A$12,0)),"Unmapped")</f>
        <v>Pending</v>
      </c>
      <c r="E44" s="4" t="str">
        <f aca="false">IFERROR(LOOKUP(2,1/((Interaction_Log!$B$2:$B$3000=$A44)*(Interaction_Log!$G$2:$G$3000&lt;&gt;"")),Interaction_Log!$G$2:$G$3000),"")</f>
        <v/>
      </c>
      <c r="F44" s="5" t="str">
        <f aca="false">IFERROR(INDEX(Lists!$C$2:$C$12,MATCH($C44,Lists!$A$2:$A$12,0)),"")</f>
        <v>Low</v>
      </c>
      <c r="G44" s="5" t="str">
        <f aca="false">IFERROR(INDEX(Lists!$D$2:$D$12,MATCH($C44,Lists!$A$2:$A$12,0)),"")</f>
        <v>Retry</v>
      </c>
      <c r="H44" s="5" t="str">
        <f aca="false">IF(OR($D44="Converted",$D44="Closed"),"—",IF($E44="","Not Scheduled",IF($E44&lt;CRM_Dashboard!$B$3,"Overdue",IF($E44=CRM_Dashboard!$B$3,"Due Today","Upcoming"))))</f>
        <v>Not Scheduled</v>
      </c>
      <c r="I44" s="5" t="n">
        <f aca="false">COUNTIF(Interaction_Log!$B$2:$B$3000,$A44)</f>
        <v>1</v>
      </c>
      <c r="J44" s="5" t="str">
        <f aca="false">IF(COUNTIFS(Interaction_Log!$B$2:$B$3000,$A44,Interaction_Log!$E$2:$E$3000,"Details Sent")&gt;0,"Yes","No")</f>
        <v>No</v>
      </c>
      <c r="K44" s="2" t="str">
        <f aca="false">IF(AND(COUNTIFS(Interaction_Log!$B$2:$B$3000,$A44,Interaction_Log!$E$2:$E$3000,"Paid")&gt;0,$C44&lt;&gt;"Paid"),"Paid then re-opened","")</f>
        <v/>
      </c>
    </row>
    <row r="45" customFormat="false" ht="15" hidden="false" customHeight="false" outlineLevel="0" collapsed="false">
      <c r="A45" s="2" t="s">
        <v>209</v>
      </c>
      <c r="B45" s="2" t="str">
        <f aca="false">IFERROR(INDEX(Lead_Master!$B$2:$B$1000,MATCH($A45,Lead_Master!$A$2:$A$1000,0)),"")</f>
        <v>Mehak Verma</v>
      </c>
      <c r="C45" s="2" t="str">
        <f aca="false">IFERROR(LOOKUP(2,1/(Interaction_Log!$B$2:$B$3000=$A45),Interaction_Log!$E$2:$E$3000),"No contact")</f>
        <v>Paid</v>
      </c>
      <c r="D45" s="5" t="str">
        <f aca="false">IFERROR(INDEX(Lists!$B$2:$B$12,MATCH($C45,Lists!$A$2:$A$12,0)),"Unmapped")</f>
        <v>Converted</v>
      </c>
      <c r="E45" s="4" t="str">
        <f aca="false">IFERROR(LOOKUP(2,1/((Interaction_Log!$B$2:$B$3000=$A45)*(Interaction_Log!$G$2:$G$3000&lt;&gt;"")),Interaction_Log!$G$2:$G$3000),"")</f>
        <v/>
      </c>
      <c r="F45" s="5" t="str">
        <f aca="false">IFERROR(INDEX(Lists!$C$2:$C$12,MATCH($C45,Lists!$A$2:$A$12,0)),"")</f>
        <v>—</v>
      </c>
      <c r="G45" s="5" t="str">
        <f aca="false">IFERROR(INDEX(Lists!$D$2:$D$12,MATCH($C45,Lists!$A$2:$A$12,0)),"")</f>
        <v>Onboard</v>
      </c>
      <c r="H45" s="5" t="str">
        <f aca="false">IF(OR($D45="Converted",$D45="Closed"),"—",IF($E45="","Not Scheduled",IF($E45&lt;CRM_Dashboard!$B$3,"Overdue",IF($E45=CRM_Dashboard!$B$3,"Due Today","Upcoming"))))</f>
        <v>—</v>
      </c>
      <c r="I45" s="5" t="n">
        <f aca="false">COUNTIF(Interaction_Log!$B$2:$B$3000,$A45)</f>
        <v>1</v>
      </c>
      <c r="J45" s="5" t="str">
        <f aca="false">IF(COUNTIFS(Interaction_Log!$B$2:$B$3000,$A45,Interaction_Log!$E$2:$E$3000,"Details Sent")&gt;0,"Yes","No")</f>
        <v>No</v>
      </c>
      <c r="K45" s="2" t="str">
        <f aca="false">IF(AND(COUNTIFS(Interaction_Log!$B$2:$B$3000,$A45,Interaction_Log!$E$2:$E$3000,"Paid")&gt;0,$C45&lt;&gt;"Paid"),"Paid then re-opened","")</f>
        <v/>
      </c>
    </row>
    <row r="46" customFormat="false" ht="15" hidden="false" customHeight="false" outlineLevel="0" collapsed="false">
      <c r="A46" s="2" t="s">
        <v>213</v>
      </c>
      <c r="B46" s="2" t="str">
        <f aca="false">IFERROR(INDEX(Lead_Master!$B$2:$B$1000,MATCH($A46,Lead_Master!$A$2:$A$1000,0)),"")</f>
        <v>Tanya Sharma</v>
      </c>
      <c r="C46" s="2" t="str">
        <f aca="false">IFERROR(LOOKUP(2,1/(Interaction_Log!$B$2:$B$3000=$A46),Interaction_Log!$E$2:$E$3000),"No contact")</f>
        <v>Follow Up</v>
      </c>
      <c r="D46" s="5" t="str">
        <f aca="false">IFERROR(INDEX(Lists!$B$2:$B$12,MATCH($C46,Lists!$A$2:$A$12,0)),"Unmapped")</f>
        <v>Follow Up</v>
      </c>
      <c r="E46" s="4" t="n">
        <f aca="false">IFERROR(LOOKUP(2,1/((Interaction_Log!$B$2:$B$3000=$A46)*(Interaction_Log!$G$2:$G$3000&lt;&gt;"")),Interaction_Log!$G$2:$G$3000),"")</f>
        <v>46243</v>
      </c>
      <c r="F46" s="5" t="str">
        <f aca="false">IFERROR(INDEX(Lists!$C$2:$C$12,MATCH($C46,Lists!$A$2:$A$12,0)),"")</f>
        <v>High</v>
      </c>
      <c r="G46" s="5" t="str">
        <f aca="false">IFERROR(INDEX(Lists!$D$2:$D$12,MATCH($C46,Lists!$A$2:$A$12,0)),"")</f>
        <v>Call</v>
      </c>
      <c r="H46" s="5" t="str">
        <f aca="false">IF(OR($D46="Converted",$D46="Closed"),"—",IF($E46="","Not Scheduled",IF($E46&lt;CRM_Dashboard!$B$3,"Overdue",IF($E46=CRM_Dashboard!$B$3,"Due Today","Upcoming"))))</f>
        <v>Overdue</v>
      </c>
      <c r="I46" s="5" t="n">
        <f aca="false">COUNTIF(Interaction_Log!$B$2:$B$3000,$A46)</f>
        <v>2</v>
      </c>
      <c r="J46" s="5" t="str">
        <f aca="false">IF(COUNTIFS(Interaction_Log!$B$2:$B$3000,$A46,Interaction_Log!$E$2:$E$3000,"Details Sent")&gt;0,"Yes","No")</f>
        <v>No</v>
      </c>
      <c r="K46" s="2" t="str">
        <f aca="false">IF(AND(COUNTIFS(Interaction_Log!$B$2:$B$3000,$A46,Interaction_Log!$E$2:$E$3000,"Paid")&gt;0,$C46&lt;&gt;"Paid"),"Paid then re-opened","")</f>
        <v/>
      </c>
    </row>
    <row r="47" customFormat="false" ht="15" hidden="false" customHeight="false" outlineLevel="0" collapsed="false">
      <c r="A47" s="2" t="s">
        <v>217</v>
      </c>
      <c r="B47" s="2" t="str">
        <f aca="false">IFERROR(INDEX(Lead_Master!$B$2:$B$1000,MATCH($A47,Lead_Master!$A$2:$A$1000,0)),"")</f>
        <v>Tanya Patel</v>
      </c>
      <c r="C47" s="2" t="str">
        <f aca="false">IFERROR(LOOKUP(2,1/(Interaction_Log!$B$2:$B$3000=$A47),Interaction_Log!$E$2:$E$3000),"No contact")</f>
        <v>Not Interested</v>
      </c>
      <c r="D47" s="5" t="str">
        <f aca="false">IFERROR(INDEX(Lists!$B$2:$B$12,MATCH($C47,Lists!$A$2:$A$12,0)),"Unmapped")</f>
        <v>Closed</v>
      </c>
      <c r="E47" s="4" t="str">
        <f aca="false">IFERROR(LOOKUP(2,1/((Interaction_Log!$B$2:$B$3000=$A47)*(Interaction_Log!$G$2:$G$3000&lt;&gt;"")),Interaction_Log!$G$2:$G$3000),"")</f>
        <v/>
      </c>
      <c r="F47" s="5" t="str">
        <f aca="false">IFERROR(INDEX(Lists!$C$2:$C$12,MATCH($C47,Lists!$A$2:$A$12,0)),"")</f>
        <v>—</v>
      </c>
      <c r="G47" s="5" t="str">
        <f aca="false">IFERROR(INDEX(Lists!$D$2:$D$12,MATCH($C47,Lists!$A$2:$A$12,0)),"")</f>
        <v>No action</v>
      </c>
      <c r="H47" s="5" t="str">
        <f aca="false">IF(OR($D47="Converted",$D47="Closed"),"—",IF($E47="","Not Scheduled",IF($E47&lt;CRM_Dashboard!$B$3,"Overdue",IF($E47=CRM_Dashboard!$B$3,"Due Today","Upcoming"))))</f>
        <v>—</v>
      </c>
      <c r="I47" s="5" t="n">
        <f aca="false">COUNTIF(Interaction_Log!$B$2:$B$3000,$A47)</f>
        <v>1</v>
      </c>
      <c r="J47" s="5" t="str">
        <f aca="false">IF(COUNTIFS(Interaction_Log!$B$2:$B$3000,$A47,Interaction_Log!$E$2:$E$3000,"Details Sent")&gt;0,"Yes","No")</f>
        <v>No</v>
      </c>
      <c r="K47" s="2" t="str">
        <f aca="false">IF(AND(COUNTIFS(Interaction_Log!$B$2:$B$3000,$A47,Interaction_Log!$E$2:$E$3000,"Paid")&gt;0,$C47&lt;&gt;"Paid"),"Paid then re-opened","")</f>
        <v/>
      </c>
    </row>
    <row r="48" customFormat="false" ht="15" hidden="false" customHeight="false" outlineLevel="0" collapsed="false">
      <c r="A48" s="2" t="s">
        <v>221</v>
      </c>
      <c r="B48" s="2" t="str">
        <f aca="false">IFERROR(INDEX(Lead_Master!$B$2:$B$1000,MATCH($A48,Lead_Master!$A$2:$A$1000,0)),"")</f>
        <v>Arjun Agarwal</v>
      </c>
      <c r="C48" s="2" t="str">
        <f aca="false">IFERROR(LOOKUP(2,1/(Interaction_Log!$B$2:$B$3000=$A48),Interaction_Log!$E$2:$E$3000),"No contact")</f>
        <v>Follow Up</v>
      </c>
      <c r="D48" s="5" t="str">
        <f aca="false">IFERROR(INDEX(Lists!$B$2:$B$12,MATCH($C48,Lists!$A$2:$A$12,0)),"Unmapped")</f>
        <v>Follow Up</v>
      </c>
      <c r="E48" s="4" t="n">
        <f aca="false">IFERROR(LOOKUP(2,1/((Interaction_Log!$B$2:$B$3000=$A48)*(Interaction_Log!$G$2:$G$3000&lt;&gt;"")),Interaction_Log!$G$2:$G$3000),"")</f>
        <v>46233</v>
      </c>
      <c r="F48" s="5" t="str">
        <f aca="false">IFERROR(INDEX(Lists!$C$2:$C$12,MATCH($C48,Lists!$A$2:$A$12,0)),"")</f>
        <v>High</v>
      </c>
      <c r="G48" s="5" t="str">
        <f aca="false">IFERROR(INDEX(Lists!$D$2:$D$12,MATCH($C48,Lists!$A$2:$A$12,0)),"")</f>
        <v>Call</v>
      </c>
      <c r="H48" s="5" t="str">
        <f aca="false">IF(OR($D48="Converted",$D48="Closed"),"—",IF($E48="","Not Scheduled",IF($E48&lt;CRM_Dashboard!$B$3,"Overdue",IF($E48=CRM_Dashboard!$B$3,"Due Today","Upcoming"))))</f>
        <v>Overdue</v>
      </c>
      <c r="I48" s="5" t="n">
        <f aca="false">COUNTIF(Interaction_Log!$B$2:$B$3000,$A48)</f>
        <v>1</v>
      </c>
      <c r="J48" s="5" t="str">
        <f aca="false">IF(COUNTIFS(Interaction_Log!$B$2:$B$3000,$A48,Interaction_Log!$E$2:$E$3000,"Details Sent")&gt;0,"Yes","No")</f>
        <v>No</v>
      </c>
      <c r="K48" s="2" t="str">
        <f aca="false">IF(AND(COUNTIFS(Interaction_Log!$B$2:$B$3000,$A48,Interaction_Log!$E$2:$E$3000,"Paid")&gt;0,$C48&lt;&gt;"Paid"),"Paid then re-opened","")</f>
        <v/>
      </c>
    </row>
    <row r="49" customFormat="false" ht="15" hidden="false" customHeight="false" outlineLevel="0" collapsed="false">
      <c r="A49" s="2" t="s">
        <v>225</v>
      </c>
      <c r="B49" s="2" t="str">
        <f aca="false">IFERROR(INDEX(Lead_Master!$B$2:$B$1000,MATCH($A49,Lead_Master!$A$2:$A$1000,0)),"")</f>
        <v>Sahil Yadav</v>
      </c>
      <c r="C49" s="2" t="str">
        <f aca="false">IFERROR(LOOKUP(2,1/(Interaction_Log!$B$2:$B$3000=$A49),Interaction_Log!$E$2:$E$3000),"No contact")</f>
        <v>DNP</v>
      </c>
      <c r="D49" s="5" t="str">
        <f aca="false">IFERROR(INDEX(Lists!$B$2:$B$12,MATCH($C49,Lists!$A$2:$A$12,0)),"Unmapped")</f>
        <v>Pending</v>
      </c>
      <c r="E49" s="4" t="str">
        <f aca="false">IFERROR(LOOKUP(2,1/((Interaction_Log!$B$2:$B$3000=$A49)*(Interaction_Log!$G$2:$G$3000&lt;&gt;"")),Interaction_Log!$G$2:$G$3000),"")</f>
        <v/>
      </c>
      <c r="F49" s="5" t="str">
        <f aca="false">IFERROR(INDEX(Lists!$C$2:$C$12,MATCH($C49,Lists!$A$2:$A$12,0)),"")</f>
        <v>Low</v>
      </c>
      <c r="G49" s="5" t="str">
        <f aca="false">IFERROR(INDEX(Lists!$D$2:$D$12,MATCH($C49,Lists!$A$2:$A$12,0)),"")</f>
        <v>Retry</v>
      </c>
      <c r="H49" s="5" t="str">
        <f aca="false">IF(OR($D49="Converted",$D49="Closed"),"—",IF($E49="","Not Scheduled",IF($E49&lt;CRM_Dashboard!$B$3,"Overdue",IF($E49=CRM_Dashboard!$B$3,"Due Today","Upcoming"))))</f>
        <v>Not Scheduled</v>
      </c>
      <c r="I49" s="5" t="n">
        <f aca="false">COUNTIF(Interaction_Log!$B$2:$B$3000,$A49)</f>
        <v>3</v>
      </c>
      <c r="J49" s="5" t="str">
        <f aca="false">IF(COUNTIFS(Interaction_Log!$B$2:$B$3000,$A49,Interaction_Log!$E$2:$E$3000,"Details Sent")&gt;0,"Yes","No")</f>
        <v>Yes</v>
      </c>
      <c r="K49" s="2" t="str">
        <f aca="false">IF(AND(COUNTIFS(Interaction_Log!$B$2:$B$3000,$A49,Interaction_Log!$E$2:$E$3000,"Paid")&gt;0,$C49&lt;&gt;"Paid"),"Paid then re-opened","")</f>
        <v/>
      </c>
    </row>
    <row r="50" customFormat="false" ht="15" hidden="false" customHeight="false" outlineLevel="0" collapsed="false">
      <c r="A50" s="2" t="s">
        <v>229</v>
      </c>
      <c r="B50" s="2" t="str">
        <f aca="false">IFERROR(INDEX(Lead_Master!$B$2:$B$1000,MATCH($A50,Lead_Master!$A$2:$A$1000,0)),"")</f>
        <v>Shreya Srivastava</v>
      </c>
      <c r="C50" s="2" t="str">
        <f aca="false">IFERROR(LOOKUP(2,1/(Interaction_Log!$B$2:$B$3000=$A50),Interaction_Log!$E$2:$E$3000),"No contact")</f>
        <v>Not Interested</v>
      </c>
      <c r="D50" s="5" t="str">
        <f aca="false">IFERROR(INDEX(Lists!$B$2:$B$12,MATCH($C50,Lists!$A$2:$A$12,0)),"Unmapped")</f>
        <v>Closed</v>
      </c>
      <c r="E50" s="4" t="str">
        <f aca="false">IFERROR(LOOKUP(2,1/((Interaction_Log!$B$2:$B$3000=$A50)*(Interaction_Log!$G$2:$G$3000&lt;&gt;"")),Interaction_Log!$G$2:$G$3000),"")</f>
        <v/>
      </c>
      <c r="F50" s="5" t="str">
        <f aca="false">IFERROR(INDEX(Lists!$C$2:$C$12,MATCH($C50,Lists!$A$2:$A$12,0)),"")</f>
        <v>—</v>
      </c>
      <c r="G50" s="5" t="str">
        <f aca="false">IFERROR(INDEX(Lists!$D$2:$D$12,MATCH($C50,Lists!$A$2:$A$12,0)),"")</f>
        <v>No action</v>
      </c>
      <c r="H50" s="5" t="str">
        <f aca="false">IF(OR($D50="Converted",$D50="Closed"),"—",IF($E50="","Not Scheduled",IF($E50&lt;CRM_Dashboard!$B$3,"Overdue",IF($E50=CRM_Dashboard!$B$3,"Due Today","Upcoming"))))</f>
        <v>—</v>
      </c>
      <c r="I50" s="5" t="n">
        <f aca="false">COUNTIF(Interaction_Log!$B$2:$B$3000,$A50)</f>
        <v>2</v>
      </c>
      <c r="J50" s="5" t="str">
        <f aca="false">IF(COUNTIFS(Interaction_Log!$B$2:$B$3000,$A50,Interaction_Log!$E$2:$E$3000,"Details Sent")&gt;0,"Yes","No")</f>
        <v>Yes</v>
      </c>
      <c r="K50" s="2" t="str">
        <f aca="false">IF(AND(COUNTIFS(Interaction_Log!$B$2:$B$3000,$A50,Interaction_Log!$E$2:$E$3000,"Paid")&gt;0,$C50&lt;&gt;"Paid"),"Paid then re-opened","")</f>
        <v/>
      </c>
    </row>
    <row r="51" customFormat="false" ht="15" hidden="false" customHeight="false" outlineLevel="0" collapsed="false">
      <c r="A51" s="2" t="s">
        <v>233</v>
      </c>
      <c r="B51" s="2" t="str">
        <f aca="false">IFERROR(INDEX(Lead_Master!$B$2:$B$1000,MATCH($A51,Lead_Master!$A$2:$A$1000,0)),"")</f>
        <v>Ayush Rathore</v>
      </c>
      <c r="C51" s="2" t="str">
        <f aca="false">IFERROR(LOOKUP(2,1/(Interaction_Log!$B$2:$B$3000=$A51),Interaction_Log!$E$2:$E$3000),"No contact")</f>
        <v>DNP</v>
      </c>
      <c r="D51" s="5" t="str">
        <f aca="false">IFERROR(INDEX(Lists!$B$2:$B$12,MATCH($C51,Lists!$A$2:$A$12,0)),"Unmapped")</f>
        <v>Pending</v>
      </c>
      <c r="E51" s="4" t="str">
        <f aca="false">IFERROR(LOOKUP(2,1/((Interaction_Log!$B$2:$B$3000=$A51)*(Interaction_Log!$G$2:$G$3000&lt;&gt;"")),Interaction_Log!$G$2:$G$3000),"")</f>
        <v/>
      </c>
      <c r="F51" s="5" t="str">
        <f aca="false">IFERROR(INDEX(Lists!$C$2:$C$12,MATCH($C51,Lists!$A$2:$A$12,0)),"")</f>
        <v>Low</v>
      </c>
      <c r="G51" s="5" t="str">
        <f aca="false">IFERROR(INDEX(Lists!$D$2:$D$12,MATCH($C51,Lists!$A$2:$A$12,0)),"")</f>
        <v>Retry</v>
      </c>
      <c r="H51" s="5" t="str">
        <f aca="false">IF(OR($D51="Converted",$D51="Closed"),"—",IF($E51="","Not Scheduled",IF($E51&lt;CRM_Dashboard!$B$3,"Overdue",IF($E51=CRM_Dashboard!$B$3,"Due Today","Upcoming"))))</f>
        <v>Not Scheduled</v>
      </c>
      <c r="I51" s="5" t="n">
        <f aca="false">COUNTIF(Interaction_Log!$B$2:$B$3000,$A51)</f>
        <v>1</v>
      </c>
      <c r="J51" s="5" t="str">
        <f aca="false">IF(COUNTIFS(Interaction_Log!$B$2:$B$3000,$A51,Interaction_Log!$E$2:$E$3000,"Details Sent")&gt;0,"Yes","No")</f>
        <v>No</v>
      </c>
      <c r="K51" s="2" t="str">
        <f aca="false">IF(AND(COUNTIFS(Interaction_Log!$B$2:$B$3000,$A51,Interaction_Log!$E$2:$E$3000,"Paid")&gt;0,$C51&lt;&gt;"Paid"),"Paid then re-opened","")</f>
        <v/>
      </c>
    </row>
    <row r="52" customFormat="false" ht="15" hidden="false" customHeight="false" outlineLevel="0" collapsed="false">
      <c r="A52" s="2" t="s">
        <v>237</v>
      </c>
      <c r="B52" s="2" t="str">
        <f aca="false">IFERROR(INDEX(Lead_Master!$B$2:$B$1000,MATCH($A52,Lead_Master!$A$2:$A$1000,0)),"")</f>
        <v>Varun Patel</v>
      </c>
      <c r="C52" s="2" t="str">
        <f aca="false">IFERROR(LOOKUP(2,1/(Interaction_Log!$B$2:$B$3000=$A52),Interaction_Log!$E$2:$E$3000),"No contact")</f>
        <v>Switch Off</v>
      </c>
      <c r="D52" s="5" t="str">
        <f aca="false">IFERROR(INDEX(Lists!$B$2:$B$12,MATCH($C52,Lists!$A$2:$A$12,0)),"Unmapped")</f>
        <v>Pending</v>
      </c>
      <c r="E52" s="4" t="str">
        <f aca="false">IFERROR(LOOKUP(2,1/((Interaction_Log!$B$2:$B$3000=$A52)*(Interaction_Log!$G$2:$G$3000&lt;&gt;"")),Interaction_Log!$G$2:$G$3000),"")</f>
        <v/>
      </c>
      <c r="F52" s="5" t="str">
        <f aca="false">IFERROR(INDEX(Lists!$C$2:$C$12,MATCH($C52,Lists!$A$2:$A$12,0)),"")</f>
        <v>Low</v>
      </c>
      <c r="G52" s="5" t="str">
        <f aca="false">IFERROR(INDEX(Lists!$D$2:$D$12,MATCH($C52,Lists!$A$2:$A$12,0)),"")</f>
        <v>Retry</v>
      </c>
      <c r="H52" s="5" t="str">
        <f aca="false">IF(OR($D52="Converted",$D52="Closed"),"—",IF($E52="","Not Scheduled",IF($E52&lt;CRM_Dashboard!$B$3,"Overdue",IF($E52=CRM_Dashboard!$B$3,"Due Today","Upcoming"))))</f>
        <v>Not Scheduled</v>
      </c>
      <c r="I52" s="5" t="n">
        <f aca="false">COUNTIF(Interaction_Log!$B$2:$B$3000,$A52)</f>
        <v>4</v>
      </c>
      <c r="J52" s="5" t="str">
        <f aca="false">IF(COUNTIFS(Interaction_Log!$B$2:$B$3000,$A52,Interaction_Log!$E$2:$E$3000,"Details Sent")&gt;0,"Yes","No")</f>
        <v>No</v>
      </c>
      <c r="K52" s="2" t="str">
        <f aca="false">IF(AND(COUNTIFS(Interaction_Log!$B$2:$B$3000,$A52,Interaction_Log!$E$2:$E$3000,"Paid")&gt;0,$C52&lt;&gt;"Paid"),"Paid then re-opened","")</f>
        <v/>
      </c>
    </row>
    <row r="53" customFormat="false" ht="15" hidden="false" customHeight="false" outlineLevel="0" collapsed="false">
      <c r="A53" s="2" t="s">
        <v>241</v>
      </c>
      <c r="B53" s="2" t="str">
        <f aca="false">IFERROR(INDEX(Lead_Master!$B$2:$B$1000,MATCH($A53,Lead_Master!$A$2:$A$1000,0)),"")</f>
        <v>Khushi Pandey</v>
      </c>
      <c r="C53" s="2" t="str">
        <f aca="false">IFERROR(LOOKUP(2,1/(Interaction_Log!$B$2:$B$3000=$A53),Interaction_Log!$E$2:$E$3000),"No contact")</f>
        <v>DNP</v>
      </c>
      <c r="D53" s="5" t="str">
        <f aca="false">IFERROR(INDEX(Lists!$B$2:$B$12,MATCH($C53,Lists!$A$2:$A$12,0)),"Unmapped")</f>
        <v>Pending</v>
      </c>
      <c r="E53" s="4" t="str">
        <f aca="false">IFERROR(LOOKUP(2,1/((Interaction_Log!$B$2:$B$3000=$A53)*(Interaction_Log!$G$2:$G$3000&lt;&gt;"")),Interaction_Log!$G$2:$G$3000),"")</f>
        <v/>
      </c>
      <c r="F53" s="5" t="str">
        <f aca="false">IFERROR(INDEX(Lists!$C$2:$C$12,MATCH($C53,Lists!$A$2:$A$12,0)),"")</f>
        <v>Low</v>
      </c>
      <c r="G53" s="5" t="str">
        <f aca="false">IFERROR(INDEX(Lists!$D$2:$D$12,MATCH($C53,Lists!$A$2:$A$12,0)),"")</f>
        <v>Retry</v>
      </c>
      <c r="H53" s="5" t="str">
        <f aca="false">IF(OR($D53="Converted",$D53="Closed"),"—",IF($E53="","Not Scheduled",IF($E53&lt;CRM_Dashboard!$B$3,"Overdue",IF($E53=CRM_Dashboard!$B$3,"Due Today","Upcoming"))))</f>
        <v>Not Scheduled</v>
      </c>
      <c r="I53" s="5" t="n">
        <f aca="false">COUNTIF(Interaction_Log!$B$2:$B$3000,$A53)</f>
        <v>4</v>
      </c>
      <c r="J53" s="5" t="str">
        <f aca="false">IF(COUNTIFS(Interaction_Log!$B$2:$B$3000,$A53,Interaction_Log!$E$2:$E$3000,"Details Sent")&gt;0,"Yes","No")</f>
        <v>Yes</v>
      </c>
      <c r="K53" s="2" t="str">
        <f aca="false">IF(AND(COUNTIFS(Interaction_Log!$B$2:$B$3000,$A53,Interaction_Log!$E$2:$E$3000,"Paid")&gt;0,$C53&lt;&gt;"Paid"),"Paid then re-opened","")</f>
        <v/>
      </c>
    </row>
    <row r="54" customFormat="false" ht="15" hidden="false" customHeight="false" outlineLevel="0" collapsed="false">
      <c r="A54" s="2" t="s">
        <v>245</v>
      </c>
      <c r="B54" s="2" t="str">
        <f aca="false">IFERROR(INDEX(Lead_Master!$B$2:$B$1000,MATCH($A54,Lead_Master!$A$2:$A$1000,0)),"")</f>
        <v>Pooja Agarwal</v>
      </c>
      <c r="C54" s="2" t="str">
        <f aca="false">IFERROR(LOOKUP(2,1/(Interaction_Log!$B$2:$B$3000=$A54),Interaction_Log!$E$2:$E$3000),"No contact")</f>
        <v>Call Back Later</v>
      </c>
      <c r="D54" s="5" t="str">
        <f aca="false">IFERROR(INDEX(Lists!$B$2:$B$12,MATCH($C54,Lists!$A$2:$A$12,0)),"Unmapped")</f>
        <v>Pending</v>
      </c>
      <c r="E54" s="4" t="n">
        <f aca="false">IFERROR(LOOKUP(2,1/((Interaction_Log!$B$2:$B$3000=$A54)*(Interaction_Log!$G$2:$G$3000&lt;&gt;"")),Interaction_Log!$G$2:$G$3000),"")</f>
        <v>46278</v>
      </c>
      <c r="F54" s="5" t="str">
        <f aca="false">IFERROR(INDEX(Lists!$C$2:$C$12,MATCH($C54,Lists!$A$2:$A$12,0)),"")</f>
        <v>Medium</v>
      </c>
      <c r="G54" s="5" t="str">
        <f aca="false">IFERROR(INDEX(Lists!$D$2:$D$12,MATCH($C54,Lists!$A$2:$A$12,0)),"")</f>
        <v>Call</v>
      </c>
      <c r="H54" s="5" t="str">
        <f aca="false">IF(OR($D54="Converted",$D54="Closed"),"—",IF($E54="","Not Scheduled",IF($E54&lt;CRM_Dashboard!$B$3,"Overdue",IF($E54=CRM_Dashboard!$B$3,"Due Today","Upcoming"))))</f>
        <v>Overdue</v>
      </c>
      <c r="I54" s="5" t="n">
        <f aca="false">COUNTIF(Interaction_Log!$B$2:$B$3000,$A54)</f>
        <v>3</v>
      </c>
      <c r="J54" s="5" t="str">
        <f aca="false">IF(COUNTIFS(Interaction_Log!$B$2:$B$3000,$A54,Interaction_Log!$E$2:$E$3000,"Details Sent")&gt;0,"Yes","No")</f>
        <v>Yes</v>
      </c>
      <c r="K54" s="2" t="str">
        <f aca="false">IF(AND(COUNTIFS(Interaction_Log!$B$2:$B$3000,$A54,Interaction_Log!$E$2:$E$3000,"Paid")&gt;0,$C54&lt;&gt;"Paid"),"Paid then re-opened","")</f>
        <v/>
      </c>
    </row>
    <row r="55" customFormat="false" ht="15" hidden="false" customHeight="false" outlineLevel="0" collapsed="false">
      <c r="A55" s="2" t="s">
        <v>248</v>
      </c>
      <c r="B55" s="2" t="str">
        <f aca="false">IFERROR(INDEX(Lead_Master!$B$2:$B$1000,MATCH($A55,Lead_Master!$A$2:$A$1000,0)),"")</f>
        <v>Neha Agarwal</v>
      </c>
      <c r="C55" s="2" t="str">
        <f aca="false">IFERROR(LOOKUP(2,1/(Interaction_Log!$B$2:$B$3000=$A55),Interaction_Log!$E$2:$E$3000),"No contact")</f>
        <v>Call Back Later</v>
      </c>
      <c r="D55" s="5" t="str">
        <f aca="false">IFERROR(INDEX(Lists!$B$2:$B$12,MATCH($C55,Lists!$A$2:$A$12,0)),"Unmapped")</f>
        <v>Pending</v>
      </c>
      <c r="E55" s="4" t="n">
        <f aca="false">IFERROR(LOOKUP(2,1/((Interaction_Log!$B$2:$B$3000=$A55)*(Interaction_Log!$G$2:$G$3000&lt;&gt;"")),Interaction_Log!$G$2:$G$3000),"")</f>
        <v>46284</v>
      </c>
      <c r="F55" s="5" t="str">
        <f aca="false">IFERROR(INDEX(Lists!$C$2:$C$12,MATCH($C55,Lists!$A$2:$A$12,0)),"")</f>
        <v>Medium</v>
      </c>
      <c r="G55" s="5" t="str">
        <f aca="false">IFERROR(INDEX(Lists!$D$2:$D$12,MATCH($C55,Lists!$A$2:$A$12,0)),"")</f>
        <v>Call</v>
      </c>
      <c r="H55" s="5" t="str">
        <f aca="false">IF(OR($D55="Converted",$D55="Closed"),"—",IF($E55="","Not Scheduled",IF($E55&lt;CRM_Dashboard!$B$3,"Overdue",IF($E55=CRM_Dashboard!$B$3,"Due Today","Upcoming"))))</f>
        <v>Overdue</v>
      </c>
      <c r="I55" s="5" t="n">
        <f aca="false">COUNTIF(Interaction_Log!$B$2:$B$3000,$A55)</f>
        <v>3</v>
      </c>
      <c r="J55" s="5" t="str">
        <f aca="false">IF(COUNTIFS(Interaction_Log!$B$2:$B$3000,$A55,Interaction_Log!$E$2:$E$3000,"Details Sent")&gt;0,"Yes","No")</f>
        <v>No</v>
      </c>
      <c r="K55" s="2" t="str">
        <f aca="false">IF(AND(COUNTIFS(Interaction_Log!$B$2:$B$3000,$A55,Interaction_Log!$E$2:$E$3000,"Paid")&gt;0,$C55&lt;&gt;"Paid"),"Paid then re-opened","")</f>
        <v/>
      </c>
    </row>
    <row r="56" customFormat="false" ht="15" hidden="false" customHeight="false" outlineLevel="0" collapsed="false">
      <c r="A56" s="2" t="s">
        <v>252</v>
      </c>
      <c r="B56" s="2" t="str">
        <f aca="false">IFERROR(INDEX(Lead_Master!$B$2:$B$1000,MATCH($A56,Lead_Master!$A$2:$A$1000,0)),"")</f>
        <v>Abhishek Kumar</v>
      </c>
      <c r="C56" s="2" t="str">
        <f aca="false">IFERROR(LOOKUP(2,1/(Interaction_Log!$B$2:$B$3000=$A56),Interaction_Log!$E$2:$E$3000),"No contact")</f>
        <v>Not Interested</v>
      </c>
      <c r="D56" s="5" t="str">
        <f aca="false">IFERROR(INDEX(Lists!$B$2:$B$12,MATCH($C56,Lists!$A$2:$A$12,0)),"Unmapped")</f>
        <v>Closed</v>
      </c>
      <c r="E56" s="4" t="str">
        <f aca="false">IFERROR(LOOKUP(2,1/((Interaction_Log!$B$2:$B$3000=$A56)*(Interaction_Log!$G$2:$G$3000&lt;&gt;"")),Interaction_Log!$G$2:$G$3000),"")</f>
        <v/>
      </c>
      <c r="F56" s="5" t="str">
        <f aca="false">IFERROR(INDEX(Lists!$C$2:$C$12,MATCH($C56,Lists!$A$2:$A$12,0)),"")</f>
        <v>—</v>
      </c>
      <c r="G56" s="5" t="str">
        <f aca="false">IFERROR(INDEX(Lists!$D$2:$D$12,MATCH($C56,Lists!$A$2:$A$12,0)),"")</f>
        <v>No action</v>
      </c>
      <c r="H56" s="5" t="str">
        <f aca="false">IF(OR($D56="Converted",$D56="Closed"),"—",IF($E56="","Not Scheduled",IF($E56&lt;CRM_Dashboard!$B$3,"Overdue",IF($E56=CRM_Dashboard!$B$3,"Due Today","Upcoming"))))</f>
        <v>—</v>
      </c>
      <c r="I56" s="5" t="n">
        <f aca="false">COUNTIF(Interaction_Log!$B$2:$B$3000,$A56)</f>
        <v>2</v>
      </c>
      <c r="J56" s="5" t="str">
        <f aca="false">IF(COUNTIFS(Interaction_Log!$B$2:$B$3000,$A56,Interaction_Log!$E$2:$E$3000,"Details Sent")&gt;0,"Yes","No")</f>
        <v>No</v>
      </c>
      <c r="K56" s="2" t="str">
        <f aca="false">IF(AND(COUNTIFS(Interaction_Log!$B$2:$B$3000,$A56,Interaction_Log!$E$2:$E$3000,"Paid")&gt;0,$C56&lt;&gt;"Paid"),"Paid then re-opened","")</f>
        <v/>
      </c>
    </row>
    <row r="57" customFormat="false" ht="15" hidden="false" customHeight="false" outlineLevel="0" collapsed="false">
      <c r="A57" s="2" t="s">
        <v>256</v>
      </c>
      <c r="B57" s="2" t="str">
        <f aca="false">IFERROR(INDEX(Lead_Master!$B$2:$B$1000,MATCH($A57,Lead_Master!$A$2:$A$1000,0)),"")</f>
        <v>Sneha Sharma</v>
      </c>
      <c r="C57" s="2" t="str">
        <f aca="false">IFERROR(LOOKUP(2,1/(Interaction_Log!$B$2:$B$3000=$A57),Interaction_Log!$E$2:$E$3000),"No contact")</f>
        <v>Follow Up</v>
      </c>
      <c r="D57" s="5" t="str">
        <f aca="false">IFERROR(INDEX(Lists!$B$2:$B$12,MATCH($C57,Lists!$A$2:$A$12,0)),"Unmapped")</f>
        <v>Follow Up</v>
      </c>
      <c r="E57" s="4" t="n">
        <f aca="false">IFERROR(LOOKUP(2,1/((Interaction_Log!$B$2:$B$3000=$A57)*(Interaction_Log!$G$2:$G$3000&lt;&gt;"")),Interaction_Log!$G$2:$G$3000),"")</f>
        <v>46239</v>
      </c>
      <c r="F57" s="5" t="str">
        <f aca="false">IFERROR(INDEX(Lists!$C$2:$C$12,MATCH($C57,Lists!$A$2:$A$12,0)),"")</f>
        <v>High</v>
      </c>
      <c r="G57" s="5" t="str">
        <f aca="false">IFERROR(INDEX(Lists!$D$2:$D$12,MATCH($C57,Lists!$A$2:$A$12,0)),"")</f>
        <v>Call</v>
      </c>
      <c r="H57" s="5" t="str">
        <f aca="false">IF(OR($D57="Converted",$D57="Closed"),"—",IF($E57="","Not Scheduled",IF($E57&lt;CRM_Dashboard!$B$3,"Overdue",IF($E57=CRM_Dashboard!$B$3,"Due Today","Upcoming"))))</f>
        <v>Overdue</v>
      </c>
      <c r="I57" s="5" t="n">
        <f aca="false">COUNTIF(Interaction_Log!$B$2:$B$3000,$A57)</f>
        <v>4</v>
      </c>
      <c r="J57" s="5" t="str">
        <f aca="false">IF(COUNTIFS(Interaction_Log!$B$2:$B$3000,$A57,Interaction_Log!$E$2:$E$3000,"Details Sent")&gt;0,"Yes","No")</f>
        <v>Yes</v>
      </c>
      <c r="K57" s="2" t="str">
        <f aca="false">IF(AND(COUNTIFS(Interaction_Log!$B$2:$B$3000,$A57,Interaction_Log!$E$2:$E$3000,"Paid")&gt;0,$C57&lt;&gt;"Paid"),"Paid then re-opened","")</f>
        <v/>
      </c>
    </row>
    <row r="58" customFormat="false" ht="15" hidden="false" customHeight="false" outlineLevel="0" collapsed="false">
      <c r="A58" s="2" t="s">
        <v>260</v>
      </c>
      <c r="B58" s="2" t="str">
        <f aca="false">IFERROR(INDEX(Lead_Master!$B$2:$B$1000,MATCH($A58,Lead_Master!$A$2:$A$1000,0)),"")</f>
        <v>Aman Yadav</v>
      </c>
      <c r="C58" s="2" t="str">
        <f aca="false">IFERROR(LOOKUP(2,1/(Interaction_Log!$B$2:$B$3000=$A58),Interaction_Log!$E$2:$E$3000),"No contact")</f>
        <v>Details Sent</v>
      </c>
      <c r="D58" s="5" t="str">
        <f aca="false">IFERROR(INDEX(Lists!$B$2:$B$12,MATCH($C58,Lists!$A$2:$A$12,0)),"Unmapped")</f>
        <v>Follow Up</v>
      </c>
      <c r="E58" s="4" t="n">
        <f aca="false">IFERROR(LOOKUP(2,1/((Interaction_Log!$B$2:$B$3000=$A58)*(Interaction_Log!$G$2:$G$3000&lt;&gt;"")),Interaction_Log!$G$2:$G$3000),"")</f>
        <v>46288</v>
      </c>
      <c r="F58" s="5" t="str">
        <f aca="false">IFERROR(INDEX(Lists!$C$2:$C$12,MATCH($C58,Lists!$A$2:$A$12,0)),"")</f>
        <v>High</v>
      </c>
      <c r="G58" s="5" t="str">
        <f aca="false">IFERROR(INDEX(Lists!$D$2:$D$12,MATCH($C58,Lists!$A$2:$A$12,0)),"")</f>
        <v>Call</v>
      </c>
      <c r="H58" s="5" t="str">
        <f aca="false">IF(OR($D58="Converted",$D58="Closed"),"—",IF($E58="","Not Scheduled",IF($E58&lt;CRM_Dashboard!$B$3,"Overdue",IF($E58=CRM_Dashboard!$B$3,"Due Today","Upcoming"))))</f>
        <v>Overdue</v>
      </c>
      <c r="I58" s="5" t="n">
        <f aca="false">COUNTIF(Interaction_Log!$B$2:$B$3000,$A58)</f>
        <v>2</v>
      </c>
      <c r="J58" s="5" t="str">
        <f aca="false">IF(COUNTIFS(Interaction_Log!$B$2:$B$3000,$A58,Interaction_Log!$E$2:$E$3000,"Details Sent")&gt;0,"Yes","No")</f>
        <v>Yes</v>
      </c>
      <c r="K58" s="2" t="str">
        <f aca="false">IF(AND(COUNTIFS(Interaction_Log!$B$2:$B$3000,$A58,Interaction_Log!$E$2:$E$3000,"Paid")&gt;0,$C58&lt;&gt;"Paid"),"Paid then re-opened","")</f>
        <v/>
      </c>
    </row>
    <row r="59" customFormat="false" ht="15" hidden="false" customHeight="false" outlineLevel="0" collapsed="false">
      <c r="A59" s="2" t="s">
        <v>264</v>
      </c>
      <c r="B59" s="2" t="str">
        <f aca="false">IFERROR(INDEX(Lead_Master!$B$2:$B$1000,MATCH($A59,Lead_Master!$A$2:$A$1000,0)),"")</f>
        <v>Tanya Gupta</v>
      </c>
      <c r="C59" s="2" t="str">
        <f aca="false">IFERROR(LOOKUP(2,1/(Interaction_Log!$B$2:$B$3000=$A59),Interaction_Log!$E$2:$E$3000),"No contact")</f>
        <v>DNP</v>
      </c>
      <c r="D59" s="5" t="str">
        <f aca="false">IFERROR(INDEX(Lists!$B$2:$B$12,MATCH($C59,Lists!$A$2:$A$12,0)),"Unmapped")</f>
        <v>Pending</v>
      </c>
      <c r="E59" s="4" t="str">
        <f aca="false">IFERROR(LOOKUP(2,1/((Interaction_Log!$B$2:$B$3000=$A59)*(Interaction_Log!$G$2:$G$3000&lt;&gt;"")),Interaction_Log!$G$2:$G$3000),"")</f>
        <v/>
      </c>
      <c r="F59" s="5" t="str">
        <f aca="false">IFERROR(INDEX(Lists!$C$2:$C$12,MATCH($C59,Lists!$A$2:$A$12,0)),"")</f>
        <v>Low</v>
      </c>
      <c r="G59" s="5" t="str">
        <f aca="false">IFERROR(INDEX(Lists!$D$2:$D$12,MATCH($C59,Lists!$A$2:$A$12,0)),"")</f>
        <v>Retry</v>
      </c>
      <c r="H59" s="5" t="str">
        <f aca="false">IF(OR($D59="Converted",$D59="Closed"),"—",IF($E59="","Not Scheduled",IF($E59&lt;CRM_Dashboard!$B$3,"Overdue",IF($E59=CRM_Dashboard!$B$3,"Due Today","Upcoming"))))</f>
        <v>Not Scheduled</v>
      </c>
      <c r="I59" s="5" t="n">
        <f aca="false">COUNTIF(Interaction_Log!$B$2:$B$3000,$A59)</f>
        <v>2</v>
      </c>
      <c r="J59" s="5" t="str">
        <f aca="false">IF(COUNTIFS(Interaction_Log!$B$2:$B$3000,$A59,Interaction_Log!$E$2:$E$3000,"Details Sent")&gt;0,"Yes","No")</f>
        <v>No</v>
      </c>
      <c r="K59" s="2" t="str">
        <f aca="false">IF(AND(COUNTIFS(Interaction_Log!$B$2:$B$3000,$A59,Interaction_Log!$E$2:$E$3000,"Paid")&gt;0,$C59&lt;&gt;"Paid"),"Paid then re-opened","")</f>
        <v/>
      </c>
    </row>
    <row r="60" customFormat="false" ht="15" hidden="false" customHeight="false" outlineLevel="0" collapsed="false">
      <c r="A60" s="2" t="s">
        <v>268</v>
      </c>
      <c r="B60" s="2" t="str">
        <f aca="false">IFERROR(INDEX(Lead_Master!$B$2:$B$1000,MATCH($A60,Lead_Master!$A$2:$A$1000,0)),"")</f>
        <v>Rohan Sharma</v>
      </c>
      <c r="C60" s="2" t="str">
        <f aca="false">IFERROR(LOOKUP(2,1/(Interaction_Log!$B$2:$B$3000=$A60),Interaction_Log!$E$2:$E$3000),"No contact")</f>
        <v>Details Sent</v>
      </c>
      <c r="D60" s="5" t="str">
        <f aca="false">IFERROR(INDEX(Lists!$B$2:$B$12,MATCH($C60,Lists!$A$2:$A$12,0)),"Unmapped")</f>
        <v>Follow Up</v>
      </c>
      <c r="E60" s="4" t="n">
        <f aca="false">IFERROR(LOOKUP(2,1/((Interaction_Log!$B$2:$B$3000=$A60)*(Interaction_Log!$G$2:$G$3000&lt;&gt;"")),Interaction_Log!$G$2:$G$3000),"")</f>
        <v>46238</v>
      </c>
      <c r="F60" s="5" t="str">
        <f aca="false">IFERROR(INDEX(Lists!$C$2:$C$12,MATCH($C60,Lists!$A$2:$A$12,0)),"")</f>
        <v>High</v>
      </c>
      <c r="G60" s="5" t="str">
        <f aca="false">IFERROR(INDEX(Lists!$D$2:$D$12,MATCH($C60,Lists!$A$2:$A$12,0)),"")</f>
        <v>Call</v>
      </c>
      <c r="H60" s="5" t="str">
        <f aca="false">IF(OR($D60="Converted",$D60="Closed"),"—",IF($E60="","Not Scheduled",IF($E60&lt;CRM_Dashboard!$B$3,"Overdue",IF($E60=CRM_Dashboard!$B$3,"Due Today","Upcoming"))))</f>
        <v>Overdue</v>
      </c>
      <c r="I60" s="5" t="n">
        <f aca="false">COUNTIF(Interaction_Log!$B$2:$B$3000,$A60)</f>
        <v>3</v>
      </c>
      <c r="J60" s="5" t="str">
        <f aca="false">IF(COUNTIFS(Interaction_Log!$B$2:$B$3000,$A60,Interaction_Log!$E$2:$E$3000,"Details Sent")&gt;0,"Yes","No")</f>
        <v>Yes</v>
      </c>
      <c r="K60" s="2" t="str">
        <f aca="false">IF(AND(COUNTIFS(Interaction_Log!$B$2:$B$3000,$A60,Interaction_Log!$E$2:$E$3000,"Paid")&gt;0,$C60&lt;&gt;"Paid"),"Paid then re-opened","")</f>
        <v/>
      </c>
    </row>
    <row r="61" customFormat="false" ht="15" hidden="false" customHeight="false" outlineLevel="0" collapsed="false">
      <c r="A61" s="2" t="s">
        <v>272</v>
      </c>
      <c r="B61" s="2" t="str">
        <f aca="false">IFERROR(INDEX(Lead_Master!$B$2:$B$1000,MATCH($A61,Lead_Master!$A$2:$A$1000,0)),"")</f>
        <v>Shreya Singh</v>
      </c>
      <c r="C61" s="2" t="str">
        <f aca="false">IFERROR(LOOKUP(2,1/(Interaction_Log!$B$2:$B$3000=$A61),Interaction_Log!$E$2:$E$3000),"No contact")</f>
        <v>DNP</v>
      </c>
      <c r="D61" s="5" t="str">
        <f aca="false">IFERROR(INDEX(Lists!$B$2:$B$12,MATCH($C61,Lists!$A$2:$A$12,0)),"Unmapped")</f>
        <v>Pending</v>
      </c>
      <c r="E61" s="4" t="str">
        <f aca="false">IFERROR(LOOKUP(2,1/((Interaction_Log!$B$2:$B$3000=$A61)*(Interaction_Log!$G$2:$G$3000&lt;&gt;"")),Interaction_Log!$G$2:$G$3000),"")</f>
        <v/>
      </c>
      <c r="F61" s="5" t="str">
        <f aca="false">IFERROR(INDEX(Lists!$C$2:$C$12,MATCH($C61,Lists!$A$2:$A$12,0)),"")</f>
        <v>Low</v>
      </c>
      <c r="G61" s="5" t="str">
        <f aca="false">IFERROR(INDEX(Lists!$D$2:$D$12,MATCH($C61,Lists!$A$2:$A$12,0)),"")</f>
        <v>Retry</v>
      </c>
      <c r="H61" s="5" t="str">
        <f aca="false">IF(OR($D61="Converted",$D61="Closed"),"—",IF($E61="","Not Scheduled",IF($E61&lt;CRM_Dashboard!$B$3,"Overdue",IF($E61=CRM_Dashboard!$B$3,"Due Today","Upcoming"))))</f>
        <v>Not Scheduled</v>
      </c>
      <c r="I61" s="5" t="n">
        <f aca="false">COUNTIF(Interaction_Log!$B$2:$B$3000,$A61)</f>
        <v>2</v>
      </c>
      <c r="J61" s="5" t="str">
        <f aca="false">IF(COUNTIFS(Interaction_Log!$B$2:$B$3000,$A61,Interaction_Log!$E$2:$E$3000,"Details Sent")&gt;0,"Yes","No")</f>
        <v>No</v>
      </c>
      <c r="K61" s="2" t="str">
        <f aca="false">IF(AND(COUNTIFS(Interaction_Log!$B$2:$B$3000,$A61,Interaction_Log!$E$2:$E$3000,"Paid")&gt;0,$C61&lt;&gt;"Paid"),"Paid then re-opened","")</f>
        <v/>
      </c>
    </row>
    <row r="62" customFormat="false" ht="15" hidden="false" customHeight="false" outlineLevel="0" collapsed="false">
      <c r="A62" s="2" t="s">
        <v>275</v>
      </c>
      <c r="B62" s="2" t="str">
        <f aca="false">IFERROR(INDEX(Lead_Master!$B$2:$B$1000,MATCH($A62,Lead_Master!$A$2:$A$1000,0)),"")</f>
        <v>Ishita Mehta</v>
      </c>
      <c r="C62" s="2" t="str">
        <f aca="false">IFERROR(LOOKUP(2,1/(Interaction_Log!$B$2:$B$3000=$A62),Interaction_Log!$E$2:$E$3000),"No contact")</f>
        <v>Not Interested</v>
      </c>
      <c r="D62" s="5" t="str">
        <f aca="false">IFERROR(INDEX(Lists!$B$2:$B$12,MATCH($C62,Lists!$A$2:$A$12,0)),"Unmapped")</f>
        <v>Closed</v>
      </c>
      <c r="E62" s="4" t="str">
        <f aca="false">IFERROR(LOOKUP(2,1/((Interaction_Log!$B$2:$B$3000=$A62)*(Interaction_Log!$G$2:$G$3000&lt;&gt;"")),Interaction_Log!$G$2:$G$3000),"")</f>
        <v/>
      </c>
      <c r="F62" s="5" t="str">
        <f aca="false">IFERROR(INDEX(Lists!$C$2:$C$12,MATCH($C62,Lists!$A$2:$A$12,0)),"")</f>
        <v>—</v>
      </c>
      <c r="G62" s="5" t="str">
        <f aca="false">IFERROR(INDEX(Lists!$D$2:$D$12,MATCH($C62,Lists!$A$2:$A$12,0)),"")</f>
        <v>No action</v>
      </c>
      <c r="H62" s="5" t="str">
        <f aca="false">IF(OR($D62="Converted",$D62="Closed"),"—",IF($E62="","Not Scheduled",IF($E62&lt;CRM_Dashboard!$B$3,"Overdue",IF($E62=CRM_Dashboard!$B$3,"Due Today","Upcoming"))))</f>
        <v>—</v>
      </c>
      <c r="I62" s="5" t="n">
        <f aca="false">COUNTIF(Interaction_Log!$B$2:$B$3000,$A62)</f>
        <v>4</v>
      </c>
      <c r="J62" s="5" t="str">
        <f aca="false">IF(COUNTIFS(Interaction_Log!$B$2:$B$3000,$A62,Interaction_Log!$E$2:$E$3000,"Details Sent")&gt;0,"Yes","No")</f>
        <v>Yes</v>
      </c>
      <c r="K62" s="2" t="str">
        <f aca="false">IF(AND(COUNTIFS(Interaction_Log!$B$2:$B$3000,$A62,Interaction_Log!$E$2:$E$3000,"Paid")&gt;0,$C62&lt;&gt;"Paid"),"Paid then re-opened","")</f>
        <v/>
      </c>
    </row>
    <row r="63" customFormat="false" ht="15" hidden="false" customHeight="false" outlineLevel="0" collapsed="false">
      <c r="A63" s="2" t="s">
        <v>278</v>
      </c>
      <c r="B63" s="2" t="str">
        <f aca="false">IFERROR(INDEX(Lead_Master!$B$2:$B$1000,MATCH($A63,Lead_Master!$A$2:$A$1000,0)),"")</f>
        <v>Sakshi Sharma</v>
      </c>
      <c r="C63" s="2" t="str">
        <f aca="false">IFERROR(LOOKUP(2,1/(Interaction_Log!$B$2:$B$3000=$A63),Interaction_Log!$E$2:$E$3000),"No contact")</f>
        <v>Message Sent</v>
      </c>
      <c r="D63" s="5" t="str">
        <f aca="false">IFERROR(INDEX(Lists!$B$2:$B$12,MATCH($C63,Lists!$A$2:$A$12,0)),"Unmapped")</f>
        <v>Follow Up</v>
      </c>
      <c r="E63" s="4" t="n">
        <f aca="false">IFERROR(LOOKUP(2,1/((Interaction_Log!$B$2:$B$3000=$A63)*(Interaction_Log!$G$2:$G$3000&lt;&gt;"")),Interaction_Log!$G$2:$G$3000),"")</f>
        <v>46234</v>
      </c>
      <c r="F63" s="5" t="str">
        <f aca="false">IFERROR(INDEX(Lists!$C$2:$C$12,MATCH($C63,Lists!$A$2:$A$12,0)),"")</f>
        <v>Medium</v>
      </c>
      <c r="G63" s="5" t="str">
        <f aca="false">IFERROR(INDEX(Lists!$D$2:$D$12,MATCH($C63,Lists!$A$2:$A$12,0)),"")</f>
        <v>Call</v>
      </c>
      <c r="H63" s="5" t="str">
        <f aca="false">IF(OR($D63="Converted",$D63="Closed"),"—",IF($E63="","Not Scheduled",IF($E63&lt;CRM_Dashboard!$B$3,"Overdue",IF($E63=CRM_Dashboard!$B$3,"Due Today","Upcoming"))))</f>
        <v>Overdue</v>
      </c>
      <c r="I63" s="5" t="n">
        <f aca="false">COUNTIF(Interaction_Log!$B$2:$B$3000,$A63)</f>
        <v>4</v>
      </c>
      <c r="J63" s="5" t="str">
        <f aca="false">IF(COUNTIFS(Interaction_Log!$B$2:$B$3000,$A63,Interaction_Log!$E$2:$E$3000,"Details Sent")&gt;0,"Yes","No")</f>
        <v>Yes</v>
      </c>
      <c r="K63" s="2" t="str">
        <f aca="false">IF(AND(COUNTIFS(Interaction_Log!$B$2:$B$3000,$A63,Interaction_Log!$E$2:$E$3000,"Paid")&gt;0,$C63&lt;&gt;"Paid"),"Paid then re-opened","")</f>
        <v/>
      </c>
    </row>
    <row r="64" customFormat="false" ht="15" hidden="false" customHeight="false" outlineLevel="0" collapsed="false">
      <c r="A64" s="2" t="s">
        <v>282</v>
      </c>
      <c r="B64" s="2" t="str">
        <f aca="false">IFERROR(INDEX(Lead_Master!$B$2:$B$1000,MATCH($A64,Lead_Master!$A$2:$A$1000,0)),"")</f>
        <v>Varun Singh</v>
      </c>
      <c r="C64" s="2" t="str">
        <f aca="false">IFERROR(LOOKUP(2,1/(Interaction_Log!$B$2:$B$3000=$A64),Interaction_Log!$E$2:$E$3000),"No contact")</f>
        <v>Not Reachable</v>
      </c>
      <c r="D64" s="5" t="str">
        <f aca="false">IFERROR(INDEX(Lists!$B$2:$B$12,MATCH($C64,Lists!$A$2:$A$12,0)),"Unmapped")</f>
        <v>Pending</v>
      </c>
      <c r="E64" s="4" t="str">
        <f aca="false">IFERROR(LOOKUP(2,1/((Interaction_Log!$B$2:$B$3000=$A64)*(Interaction_Log!$G$2:$G$3000&lt;&gt;"")),Interaction_Log!$G$2:$G$3000),"")</f>
        <v/>
      </c>
      <c r="F64" s="5" t="str">
        <f aca="false">IFERROR(INDEX(Lists!$C$2:$C$12,MATCH($C64,Lists!$A$2:$A$12,0)),"")</f>
        <v>Low</v>
      </c>
      <c r="G64" s="5" t="str">
        <f aca="false">IFERROR(INDEX(Lists!$D$2:$D$12,MATCH($C64,Lists!$A$2:$A$12,0)),"")</f>
        <v>Retry</v>
      </c>
      <c r="H64" s="5" t="str">
        <f aca="false">IF(OR($D64="Converted",$D64="Closed"),"—",IF($E64="","Not Scheduled",IF($E64&lt;CRM_Dashboard!$B$3,"Overdue",IF($E64=CRM_Dashboard!$B$3,"Due Today","Upcoming"))))</f>
        <v>Not Scheduled</v>
      </c>
      <c r="I64" s="5" t="n">
        <f aca="false">COUNTIF(Interaction_Log!$B$2:$B$3000,$A64)</f>
        <v>4</v>
      </c>
      <c r="J64" s="5" t="str">
        <f aca="false">IF(COUNTIFS(Interaction_Log!$B$2:$B$3000,$A64,Interaction_Log!$E$2:$E$3000,"Details Sent")&gt;0,"Yes","No")</f>
        <v>No</v>
      </c>
      <c r="K64" s="2" t="str">
        <f aca="false">IF(AND(COUNTIFS(Interaction_Log!$B$2:$B$3000,$A64,Interaction_Log!$E$2:$E$3000,"Paid")&gt;0,$C64&lt;&gt;"Paid"),"Paid then re-opened","")</f>
        <v/>
      </c>
    </row>
    <row r="65" customFormat="false" ht="15" hidden="false" customHeight="false" outlineLevel="0" collapsed="false">
      <c r="A65" s="2" t="s">
        <v>286</v>
      </c>
      <c r="B65" s="2" t="str">
        <f aca="false">IFERROR(INDEX(Lead_Master!$B$2:$B$1000,MATCH($A65,Lead_Master!$A$2:$A$1000,0)),"")</f>
        <v>Varun Pandey</v>
      </c>
      <c r="C65" s="2" t="str">
        <f aca="false">IFERROR(LOOKUP(2,1/(Interaction_Log!$B$2:$B$3000=$A65),Interaction_Log!$E$2:$E$3000),"No contact")</f>
        <v>Not Interested</v>
      </c>
      <c r="D65" s="5" t="str">
        <f aca="false">IFERROR(INDEX(Lists!$B$2:$B$12,MATCH($C65,Lists!$A$2:$A$12,0)),"Unmapped")</f>
        <v>Closed</v>
      </c>
      <c r="E65" s="4" t="str">
        <f aca="false">IFERROR(LOOKUP(2,1/((Interaction_Log!$B$2:$B$3000=$A65)*(Interaction_Log!$G$2:$G$3000&lt;&gt;"")),Interaction_Log!$G$2:$G$3000),"")</f>
        <v/>
      </c>
      <c r="F65" s="5" t="str">
        <f aca="false">IFERROR(INDEX(Lists!$C$2:$C$12,MATCH($C65,Lists!$A$2:$A$12,0)),"")</f>
        <v>—</v>
      </c>
      <c r="G65" s="5" t="str">
        <f aca="false">IFERROR(INDEX(Lists!$D$2:$D$12,MATCH($C65,Lists!$A$2:$A$12,0)),"")</f>
        <v>No action</v>
      </c>
      <c r="H65" s="5" t="str">
        <f aca="false">IF(OR($D65="Converted",$D65="Closed"),"—",IF($E65="","Not Scheduled",IF($E65&lt;CRM_Dashboard!$B$3,"Overdue",IF($E65=CRM_Dashboard!$B$3,"Due Today","Upcoming"))))</f>
        <v>—</v>
      </c>
      <c r="I65" s="5" t="n">
        <f aca="false">COUNTIF(Interaction_Log!$B$2:$B$3000,$A65)</f>
        <v>4</v>
      </c>
      <c r="J65" s="5" t="str">
        <f aca="false">IF(COUNTIFS(Interaction_Log!$B$2:$B$3000,$A65,Interaction_Log!$E$2:$E$3000,"Details Sent")&gt;0,"Yes","No")</f>
        <v>Yes</v>
      </c>
      <c r="K65" s="2" t="str">
        <f aca="false">IF(AND(COUNTIFS(Interaction_Log!$B$2:$B$3000,$A65,Interaction_Log!$E$2:$E$3000,"Paid")&gt;0,$C65&lt;&gt;"Paid"),"Paid then re-opened","")</f>
        <v/>
      </c>
    </row>
    <row r="66" customFormat="false" ht="15" hidden="false" customHeight="false" outlineLevel="0" collapsed="false">
      <c r="A66" s="2" t="s">
        <v>290</v>
      </c>
      <c r="B66" s="2" t="str">
        <f aca="false">IFERROR(INDEX(Lead_Master!$B$2:$B$1000,MATCH($A66,Lead_Master!$A$2:$A$1000,0)),"")</f>
        <v>Kartik Srivastava</v>
      </c>
      <c r="C66" s="2" t="str">
        <f aca="false">IFERROR(LOOKUP(2,1/(Interaction_Log!$B$2:$B$3000=$A66),Interaction_Log!$E$2:$E$3000),"No contact")</f>
        <v>DNP</v>
      </c>
      <c r="D66" s="5" t="str">
        <f aca="false">IFERROR(INDEX(Lists!$B$2:$B$12,MATCH($C66,Lists!$A$2:$A$12,0)),"Unmapped")</f>
        <v>Pending</v>
      </c>
      <c r="E66" s="4" t="str">
        <f aca="false">IFERROR(LOOKUP(2,1/((Interaction_Log!$B$2:$B$3000=$A66)*(Interaction_Log!$G$2:$G$3000&lt;&gt;"")),Interaction_Log!$G$2:$G$3000),"")</f>
        <v/>
      </c>
      <c r="F66" s="5" t="str">
        <f aca="false">IFERROR(INDEX(Lists!$C$2:$C$12,MATCH($C66,Lists!$A$2:$A$12,0)),"")</f>
        <v>Low</v>
      </c>
      <c r="G66" s="5" t="str">
        <f aca="false">IFERROR(INDEX(Lists!$D$2:$D$12,MATCH($C66,Lists!$A$2:$A$12,0)),"")</f>
        <v>Retry</v>
      </c>
      <c r="H66" s="5" t="str">
        <f aca="false">IF(OR($D66="Converted",$D66="Closed"),"—",IF($E66="","Not Scheduled",IF($E66&lt;CRM_Dashboard!$B$3,"Overdue",IF($E66=CRM_Dashboard!$B$3,"Due Today","Upcoming"))))</f>
        <v>Not Scheduled</v>
      </c>
      <c r="I66" s="5" t="n">
        <f aca="false">COUNTIF(Interaction_Log!$B$2:$B$3000,$A66)</f>
        <v>4</v>
      </c>
      <c r="J66" s="5" t="str">
        <f aca="false">IF(COUNTIFS(Interaction_Log!$B$2:$B$3000,$A66,Interaction_Log!$E$2:$E$3000,"Details Sent")&gt;0,"Yes","No")</f>
        <v>No</v>
      </c>
      <c r="K66" s="2" t="str">
        <f aca="false">IF(AND(COUNTIFS(Interaction_Log!$B$2:$B$3000,$A66,Interaction_Log!$E$2:$E$3000,"Paid")&gt;0,$C66&lt;&gt;"Paid"),"Paid then re-opened","")</f>
        <v/>
      </c>
    </row>
    <row r="67" customFormat="false" ht="15" hidden="false" customHeight="false" outlineLevel="0" collapsed="false">
      <c r="A67" s="2" t="s">
        <v>294</v>
      </c>
      <c r="B67" s="2" t="str">
        <f aca="false">IFERROR(INDEX(Lead_Master!$B$2:$B$1000,MATCH($A67,Lead_Master!$A$2:$A$1000,0)),"")</f>
        <v>Kartik Verma</v>
      </c>
      <c r="C67" s="2" t="str">
        <f aca="false">IFERROR(LOOKUP(2,1/(Interaction_Log!$B$2:$B$3000=$A67),Interaction_Log!$E$2:$E$3000),"No contact")</f>
        <v>Not Interested</v>
      </c>
      <c r="D67" s="5" t="str">
        <f aca="false">IFERROR(INDEX(Lists!$B$2:$B$12,MATCH($C67,Lists!$A$2:$A$12,0)),"Unmapped")</f>
        <v>Closed</v>
      </c>
      <c r="E67" s="4" t="str">
        <f aca="false">IFERROR(LOOKUP(2,1/((Interaction_Log!$B$2:$B$3000=$A67)*(Interaction_Log!$G$2:$G$3000&lt;&gt;"")),Interaction_Log!$G$2:$G$3000),"")</f>
        <v/>
      </c>
      <c r="F67" s="5" t="str">
        <f aca="false">IFERROR(INDEX(Lists!$C$2:$C$12,MATCH($C67,Lists!$A$2:$A$12,0)),"")</f>
        <v>—</v>
      </c>
      <c r="G67" s="5" t="str">
        <f aca="false">IFERROR(INDEX(Lists!$D$2:$D$12,MATCH($C67,Lists!$A$2:$A$12,0)),"")</f>
        <v>No action</v>
      </c>
      <c r="H67" s="5" t="str">
        <f aca="false">IF(OR($D67="Converted",$D67="Closed"),"—",IF($E67="","Not Scheduled",IF($E67&lt;CRM_Dashboard!$B$3,"Overdue",IF($E67=CRM_Dashboard!$B$3,"Due Today","Upcoming"))))</f>
        <v>—</v>
      </c>
      <c r="I67" s="5" t="n">
        <f aca="false">COUNTIF(Interaction_Log!$B$2:$B$3000,$A67)</f>
        <v>2</v>
      </c>
      <c r="J67" s="5" t="str">
        <f aca="false">IF(COUNTIFS(Interaction_Log!$B$2:$B$3000,$A67,Interaction_Log!$E$2:$E$3000,"Details Sent")&gt;0,"Yes","No")</f>
        <v>Yes</v>
      </c>
      <c r="K67" s="2" t="str">
        <f aca="false">IF(AND(COUNTIFS(Interaction_Log!$B$2:$B$3000,$A67,Interaction_Log!$E$2:$E$3000,"Paid")&gt;0,$C67&lt;&gt;"Paid"),"Paid then re-opened","")</f>
        <v/>
      </c>
    </row>
    <row r="68" customFormat="false" ht="15" hidden="false" customHeight="false" outlineLevel="0" collapsed="false">
      <c r="A68" s="2" t="s">
        <v>297</v>
      </c>
      <c r="B68" s="2" t="str">
        <f aca="false">IFERROR(INDEX(Lead_Master!$B$2:$B$1000,MATCH($A68,Lead_Master!$A$2:$A$1000,0)),"")</f>
        <v>Abhishek Singh</v>
      </c>
      <c r="C68" s="2" t="str">
        <f aca="false">IFERROR(LOOKUP(2,1/(Interaction_Log!$B$2:$B$3000=$A68),Interaction_Log!$E$2:$E$3000),"No contact")</f>
        <v>Details Sent</v>
      </c>
      <c r="D68" s="5" t="str">
        <f aca="false">IFERROR(INDEX(Lists!$B$2:$B$12,MATCH($C68,Lists!$A$2:$A$12,0)),"Unmapped")</f>
        <v>Follow Up</v>
      </c>
      <c r="E68" s="4" t="n">
        <f aca="false">IFERROR(LOOKUP(2,1/((Interaction_Log!$B$2:$B$3000=$A68)*(Interaction_Log!$G$2:$G$3000&lt;&gt;"")),Interaction_Log!$G$2:$G$3000),"")</f>
        <v>46255</v>
      </c>
      <c r="F68" s="5" t="str">
        <f aca="false">IFERROR(INDEX(Lists!$C$2:$C$12,MATCH($C68,Lists!$A$2:$A$12,0)),"")</f>
        <v>High</v>
      </c>
      <c r="G68" s="5" t="str">
        <f aca="false">IFERROR(INDEX(Lists!$D$2:$D$12,MATCH($C68,Lists!$A$2:$A$12,0)),"")</f>
        <v>Call</v>
      </c>
      <c r="H68" s="5" t="str">
        <f aca="false">IF(OR($D68="Converted",$D68="Closed"),"—",IF($E68="","Not Scheduled",IF($E68&lt;CRM_Dashboard!$B$3,"Overdue",IF($E68=CRM_Dashboard!$B$3,"Due Today","Upcoming"))))</f>
        <v>Overdue</v>
      </c>
      <c r="I68" s="5" t="n">
        <f aca="false">COUNTIF(Interaction_Log!$B$2:$B$3000,$A68)</f>
        <v>2</v>
      </c>
      <c r="J68" s="5" t="str">
        <f aca="false">IF(COUNTIFS(Interaction_Log!$B$2:$B$3000,$A68,Interaction_Log!$E$2:$E$3000,"Details Sent")&gt;0,"Yes","No")</f>
        <v>Yes</v>
      </c>
      <c r="K68" s="2" t="str">
        <f aca="false">IF(AND(COUNTIFS(Interaction_Log!$B$2:$B$3000,$A68,Interaction_Log!$E$2:$E$3000,"Paid")&gt;0,$C68&lt;&gt;"Paid"),"Paid then re-opened","")</f>
        <v>Paid then re-opened</v>
      </c>
    </row>
    <row r="69" customFormat="false" ht="15" hidden="false" customHeight="false" outlineLevel="0" collapsed="false">
      <c r="A69" s="2" t="s">
        <v>301</v>
      </c>
      <c r="B69" s="2" t="str">
        <f aca="false">IFERROR(INDEX(Lead_Master!$B$2:$B$1000,MATCH($A69,Lead_Master!$A$2:$A$1000,0)),"")</f>
        <v>Yash Kumar</v>
      </c>
      <c r="C69" s="2" t="str">
        <f aca="false">IFERROR(LOOKUP(2,1/(Interaction_Log!$B$2:$B$3000=$A69),Interaction_Log!$E$2:$E$3000),"No contact")</f>
        <v>Call Back Later</v>
      </c>
      <c r="D69" s="5" t="str">
        <f aca="false">IFERROR(INDEX(Lists!$B$2:$B$12,MATCH($C69,Lists!$A$2:$A$12,0)),"Unmapped")</f>
        <v>Pending</v>
      </c>
      <c r="E69" s="4" t="n">
        <f aca="false">IFERROR(LOOKUP(2,1/((Interaction_Log!$B$2:$B$3000=$A69)*(Interaction_Log!$G$2:$G$3000&lt;&gt;"")),Interaction_Log!$G$2:$G$3000),"")</f>
        <v>46286</v>
      </c>
      <c r="F69" s="5" t="str">
        <f aca="false">IFERROR(INDEX(Lists!$C$2:$C$12,MATCH($C69,Lists!$A$2:$A$12,0)),"")</f>
        <v>Medium</v>
      </c>
      <c r="G69" s="5" t="str">
        <f aca="false">IFERROR(INDEX(Lists!$D$2:$D$12,MATCH($C69,Lists!$A$2:$A$12,0)),"")</f>
        <v>Call</v>
      </c>
      <c r="H69" s="5" t="str">
        <f aca="false">IF(OR($D69="Converted",$D69="Closed"),"—",IF($E69="","Not Scheduled",IF($E69&lt;CRM_Dashboard!$B$3,"Overdue",IF($E69=CRM_Dashboard!$B$3,"Due Today","Upcoming"))))</f>
        <v>Overdue</v>
      </c>
      <c r="I69" s="5" t="n">
        <f aca="false">COUNTIF(Interaction_Log!$B$2:$B$3000,$A69)</f>
        <v>4</v>
      </c>
      <c r="J69" s="5" t="str">
        <f aca="false">IF(COUNTIFS(Interaction_Log!$B$2:$B$3000,$A69,Interaction_Log!$E$2:$E$3000,"Details Sent")&gt;0,"Yes","No")</f>
        <v>Yes</v>
      </c>
      <c r="K69" s="2" t="str">
        <f aca="false">IF(AND(COUNTIFS(Interaction_Log!$B$2:$B$3000,$A69,Interaction_Log!$E$2:$E$3000,"Paid")&gt;0,$C69&lt;&gt;"Paid"),"Paid then re-opened","")</f>
        <v/>
      </c>
    </row>
    <row r="70" customFormat="false" ht="15" hidden="false" customHeight="false" outlineLevel="0" collapsed="false">
      <c r="A70" s="2" t="s">
        <v>305</v>
      </c>
      <c r="B70" s="2" t="str">
        <f aca="false">IFERROR(INDEX(Lead_Master!$B$2:$B$1000,MATCH($A70,Lead_Master!$A$2:$A$1000,0)),"")</f>
        <v>Karan Rathore</v>
      </c>
      <c r="C70" s="2" t="str">
        <f aca="false">IFERROR(LOOKUP(2,1/(Interaction_Log!$B$2:$B$3000=$A70),Interaction_Log!$E$2:$E$3000),"No contact")</f>
        <v>Call Back Later</v>
      </c>
      <c r="D70" s="5" t="str">
        <f aca="false">IFERROR(INDEX(Lists!$B$2:$B$12,MATCH($C70,Lists!$A$2:$A$12,0)),"Unmapped")</f>
        <v>Pending</v>
      </c>
      <c r="E70" s="4" t="n">
        <f aca="false">IFERROR(LOOKUP(2,1/((Interaction_Log!$B$2:$B$3000=$A70)*(Interaction_Log!$G$2:$G$3000&lt;&gt;"")),Interaction_Log!$G$2:$G$3000),"")</f>
        <v>46263</v>
      </c>
      <c r="F70" s="5" t="str">
        <f aca="false">IFERROR(INDEX(Lists!$C$2:$C$12,MATCH($C70,Lists!$A$2:$A$12,0)),"")</f>
        <v>Medium</v>
      </c>
      <c r="G70" s="5" t="str">
        <f aca="false">IFERROR(INDEX(Lists!$D$2:$D$12,MATCH($C70,Lists!$A$2:$A$12,0)),"")</f>
        <v>Call</v>
      </c>
      <c r="H70" s="5" t="str">
        <f aca="false">IF(OR($D70="Converted",$D70="Closed"),"—",IF($E70="","Not Scheduled",IF($E70&lt;CRM_Dashboard!$B$3,"Overdue",IF($E70=CRM_Dashboard!$B$3,"Due Today","Upcoming"))))</f>
        <v>Overdue</v>
      </c>
      <c r="I70" s="5" t="n">
        <f aca="false">COUNTIF(Interaction_Log!$B$2:$B$3000,$A70)</f>
        <v>1</v>
      </c>
      <c r="J70" s="5" t="str">
        <f aca="false">IF(COUNTIFS(Interaction_Log!$B$2:$B$3000,$A70,Interaction_Log!$E$2:$E$3000,"Details Sent")&gt;0,"Yes","No")</f>
        <v>No</v>
      </c>
      <c r="K70" s="2" t="str">
        <f aca="false">IF(AND(COUNTIFS(Interaction_Log!$B$2:$B$3000,$A70,Interaction_Log!$E$2:$E$3000,"Paid")&gt;0,$C70&lt;&gt;"Paid"),"Paid then re-opened","")</f>
        <v/>
      </c>
    </row>
    <row r="71" customFormat="false" ht="15" hidden="false" customHeight="false" outlineLevel="0" collapsed="false">
      <c r="A71" s="2" t="s">
        <v>309</v>
      </c>
      <c r="B71" s="2" t="str">
        <f aca="false">IFERROR(INDEX(Lead_Master!$B$2:$B$1000,MATCH($A71,Lead_Master!$A$2:$A$1000,0)),"")</f>
        <v>Nidhi Yadav</v>
      </c>
      <c r="C71" s="2" t="str">
        <f aca="false">IFERROR(LOOKUP(2,1/(Interaction_Log!$B$2:$B$3000=$A71),Interaction_Log!$E$2:$E$3000),"No contact")</f>
        <v>Switch Off</v>
      </c>
      <c r="D71" s="5" t="str">
        <f aca="false">IFERROR(INDEX(Lists!$B$2:$B$12,MATCH($C71,Lists!$A$2:$A$12,0)),"Unmapped")</f>
        <v>Pending</v>
      </c>
      <c r="E71" s="4" t="str">
        <f aca="false">IFERROR(LOOKUP(2,1/((Interaction_Log!$B$2:$B$3000=$A71)*(Interaction_Log!$G$2:$G$3000&lt;&gt;"")),Interaction_Log!$G$2:$G$3000),"")</f>
        <v/>
      </c>
      <c r="F71" s="5" t="str">
        <f aca="false">IFERROR(INDEX(Lists!$C$2:$C$12,MATCH($C71,Lists!$A$2:$A$12,0)),"")</f>
        <v>Low</v>
      </c>
      <c r="G71" s="5" t="str">
        <f aca="false">IFERROR(INDEX(Lists!$D$2:$D$12,MATCH($C71,Lists!$A$2:$A$12,0)),"")</f>
        <v>Retry</v>
      </c>
      <c r="H71" s="5" t="str">
        <f aca="false">IF(OR($D71="Converted",$D71="Closed"),"—",IF($E71="","Not Scheduled",IF($E71&lt;CRM_Dashboard!$B$3,"Overdue",IF($E71=CRM_Dashboard!$B$3,"Due Today","Upcoming"))))</f>
        <v>Not Scheduled</v>
      </c>
      <c r="I71" s="5" t="n">
        <f aca="false">COUNTIF(Interaction_Log!$B$2:$B$3000,$A71)</f>
        <v>1</v>
      </c>
      <c r="J71" s="5" t="str">
        <f aca="false">IF(COUNTIFS(Interaction_Log!$B$2:$B$3000,$A71,Interaction_Log!$E$2:$E$3000,"Details Sent")&gt;0,"Yes","No")</f>
        <v>No</v>
      </c>
      <c r="K71" s="2" t="str">
        <f aca="false">IF(AND(COUNTIFS(Interaction_Log!$B$2:$B$3000,$A71,Interaction_Log!$E$2:$E$3000,"Paid")&gt;0,$C71&lt;&gt;"Paid"),"Paid then re-opened","")</f>
        <v/>
      </c>
    </row>
    <row r="72" customFormat="false" ht="15" hidden="false" customHeight="false" outlineLevel="0" collapsed="false">
      <c r="A72" s="2" t="s">
        <v>313</v>
      </c>
      <c r="B72" s="2" t="str">
        <f aca="false">IFERROR(INDEX(Lead_Master!$B$2:$B$1000,MATCH($A72,Lead_Master!$A$2:$A$1000,0)),"")</f>
        <v>Ananya Mishra</v>
      </c>
      <c r="C72" s="2" t="str">
        <f aca="false">IFERROR(LOOKUP(2,1/(Interaction_Log!$B$2:$B$3000=$A72),Interaction_Log!$E$2:$E$3000),"No contact")</f>
        <v>DNP</v>
      </c>
      <c r="D72" s="5" t="str">
        <f aca="false">IFERROR(INDEX(Lists!$B$2:$B$12,MATCH($C72,Lists!$A$2:$A$12,0)),"Unmapped")</f>
        <v>Pending</v>
      </c>
      <c r="E72" s="4" t="str">
        <f aca="false">IFERROR(LOOKUP(2,1/((Interaction_Log!$B$2:$B$3000=$A72)*(Interaction_Log!$G$2:$G$3000&lt;&gt;"")),Interaction_Log!$G$2:$G$3000),"")</f>
        <v/>
      </c>
      <c r="F72" s="5" t="str">
        <f aca="false">IFERROR(INDEX(Lists!$C$2:$C$12,MATCH($C72,Lists!$A$2:$A$12,0)),"")</f>
        <v>Low</v>
      </c>
      <c r="G72" s="5" t="str">
        <f aca="false">IFERROR(INDEX(Lists!$D$2:$D$12,MATCH($C72,Lists!$A$2:$A$12,0)),"")</f>
        <v>Retry</v>
      </c>
      <c r="H72" s="5" t="str">
        <f aca="false">IF(OR($D72="Converted",$D72="Closed"),"—",IF($E72="","Not Scheduled",IF($E72&lt;CRM_Dashboard!$B$3,"Overdue",IF($E72=CRM_Dashboard!$B$3,"Due Today","Upcoming"))))</f>
        <v>Not Scheduled</v>
      </c>
      <c r="I72" s="5" t="n">
        <f aca="false">COUNTIF(Interaction_Log!$B$2:$B$3000,$A72)</f>
        <v>3</v>
      </c>
      <c r="J72" s="5" t="str">
        <f aca="false">IF(COUNTIFS(Interaction_Log!$B$2:$B$3000,$A72,Interaction_Log!$E$2:$E$3000,"Details Sent")&gt;0,"Yes","No")</f>
        <v>Yes</v>
      </c>
      <c r="K72" s="2" t="str">
        <f aca="false">IF(AND(COUNTIFS(Interaction_Log!$B$2:$B$3000,$A72,Interaction_Log!$E$2:$E$3000,"Paid")&gt;0,$C72&lt;&gt;"Paid"),"Paid then re-opened","")</f>
        <v/>
      </c>
    </row>
    <row r="73" customFormat="false" ht="15" hidden="false" customHeight="false" outlineLevel="0" collapsed="false">
      <c r="A73" s="2" t="s">
        <v>317</v>
      </c>
      <c r="B73" s="2" t="str">
        <f aca="false">IFERROR(INDEX(Lead_Master!$B$2:$B$1000,MATCH($A73,Lead_Master!$A$2:$A$1000,0)),"")</f>
        <v>Varun Pandey</v>
      </c>
      <c r="C73" s="2" t="str">
        <f aca="false">IFERROR(LOOKUP(2,1/(Interaction_Log!$B$2:$B$3000=$A73),Interaction_Log!$E$2:$E$3000),"No contact")</f>
        <v>DNP</v>
      </c>
      <c r="D73" s="5" t="str">
        <f aca="false">IFERROR(INDEX(Lists!$B$2:$B$12,MATCH($C73,Lists!$A$2:$A$12,0)),"Unmapped")</f>
        <v>Pending</v>
      </c>
      <c r="E73" s="4" t="str">
        <f aca="false">IFERROR(LOOKUP(2,1/((Interaction_Log!$B$2:$B$3000=$A73)*(Interaction_Log!$G$2:$G$3000&lt;&gt;"")),Interaction_Log!$G$2:$G$3000),"")</f>
        <v/>
      </c>
      <c r="F73" s="5" t="str">
        <f aca="false">IFERROR(INDEX(Lists!$C$2:$C$12,MATCH($C73,Lists!$A$2:$A$12,0)),"")</f>
        <v>Low</v>
      </c>
      <c r="G73" s="5" t="str">
        <f aca="false">IFERROR(INDEX(Lists!$D$2:$D$12,MATCH($C73,Lists!$A$2:$A$12,0)),"")</f>
        <v>Retry</v>
      </c>
      <c r="H73" s="5" t="str">
        <f aca="false">IF(OR($D73="Converted",$D73="Closed"),"—",IF($E73="","Not Scheduled",IF($E73&lt;CRM_Dashboard!$B$3,"Overdue",IF($E73=CRM_Dashboard!$B$3,"Due Today","Upcoming"))))</f>
        <v>Not Scheduled</v>
      </c>
      <c r="I73" s="5" t="n">
        <f aca="false">COUNTIF(Interaction_Log!$B$2:$B$3000,$A73)</f>
        <v>1</v>
      </c>
      <c r="J73" s="5" t="str">
        <f aca="false">IF(COUNTIFS(Interaction_Log!$B$2:$B$3000,$A73,Interaction_Log!$E$2:$E$3000,"Details Sent")&gt;0,"Yes","No")</f>
        <v>No</v>
      </c>
      <c r="K73" s="2" t="str">
        <f aca="false">IF(AND(COUNTIFS(Interaction_Log!$B$2:$B$3000,$A73,Interaction_Log!$E$2:$E$3000,"Paid")&gt;0,$C73&lt;&gt;"Paid"),"Paid then re-opened","")</f>
        <v/>
      </c>
    </row>
    <row r="74" customFormat="false" ht="15" hidden="false" customHeight="false" outlineLevel="0" collapsed="false">
      <c r="A74" s="2" t="s">
        <v>320</v>
      </c>
      <c r="B74" s="2" t="str">
        <f aca="false">IFERROR(INDEX(Lead_Master!$B$2:$B$1000,MATCH($A74,Lead_Master!$A$2:$A$1000,0)),"")</f>
        <v>Kartik Singh</v>
      </c>
      <c r="C74" s="2" t="str">
        <f aca="false">IFERROR(LOOKUP(2,1/(Interaction_Log!$B$2:$B$3000=$A74),Interaction_Log!$E$2:$E$3000),"No contact")</f>
        <v>Not Reachable</v>
      </c>
      <c r="D74" s="5" t="str">
        <f aca="false">IFERROR(INDEX(Lists!$B$2:$B$12,MATCH($C74,Lists!$A$2:$A$12,0)),"Unmapped")</f>
        <v>Pending</v>
      </c>
      <c r="E74" s="4" t="str">
        <f aca="false">IFERROR(LOOKUP(2,1/((Interaction_Log!$B$2:$B$3000=$A74)*(Interaction_Log!$G$2:$G$3000&lt;&gt;"")),Interaction_Log!$G$2:$G$3000),"")</f>
        <v/>
      </c>
      <c r="F74" s="5" t="str">
        <f aca="false">IFERROR(INDEX(Lists!$C$2:$C$12,MATCH($C74,Lists!$A$2:$A$12,0)),"")</f>
        <v>Low</v>
      </c>
      <c r="G74" s="5" t="str">
        <f aca="false">IFERROR(INDEX(Lists!$D$2:$D$12,MATCH($C74,Lists!$A$2:$A$12,0)),"")</f>
        <v>Retry</v>
      </c>
      <c r="H74" s="5" t="str">
        <f aca="false">IF(OR($D74="Converted",$D74="Closed"),"—",IF($E74="","Not Scheduled",IF($E74&lt;CRM_Dashboard!$B$3,"Overdue",IF($E74=CRM_Dashboard!$B$3,"Due Today","Upcoming"))))</f>
        <v>Not Scheduled</v>
      </c>
      <c r="I74" s="5" t="n">
        <f aca="false">COUNTIF(Interaction_Log!$B$2:$B$3000,$A74)</f>
        <v>3</v>
      </c>
      <c r="J74" s="5" t="str">
        <f aca="false">IF(COUNTIFS(Interaction_Log!$B$2:$B$3000,$A74,Interaction_Log!$E$2:$E$3000,"Details Sent")&gt;0,"Yes","No")</f>
        <v>No</v>
      </c>
      <c r="K74" s="2" t="str">
        <f aca="false">IF(AND(COUNTIFS(Interaction_Log!$B$2:$B$3000,$A74,Interaction_Log!$E$2:$E$3000,"Paid")&gt;0,$C74&lt;&gt;"Paid"),"Paid then re-opened","")</f>
        <v/>
      </c>
    </row>
    <row r="75" customFormat="false" ht="15" hidden="false" customHeight="false" outlineLevel="0" collapsed="false">
      <c r="A75" s="2" t="s">
        <v>324</v>
      </c>
      <c r="B75" s="2" t="str">
        <f aca="false">IFERROR(INDEX(Lead_Master!$B$2:$B$1000,MATCH($A75,Lead_Master!$A$2:$A$1000,0)),"")</f>
        <v>Sneha Singh</v>
      </c>
      <c r="C75" s="2" t="str">
        <f aca="false">IFERROR(LOOKUP(2,1/(Interaction_Log!$B$2:$B$3000=$A75),Interaction_Log!$E$2:$E$3000),"No contact")</f>
        <v>DNP</v>
      </c>
      <c r="D75" s="5" t="str">
        <f aca="false">IFERROR(INDEX(Lists!$B$2:$B$12,MATCH($C75,Lists!$A$2:$A$12,0)),"Unmapped")</f>
        <v>Pending</v>
      </c>
      <c r="E75" s="4" t="str">
        <f aca="false">IFERROR(LOOKUP(2,1/((Interaction_Log!$B$2:$B$3000=$A75)*(Interaction_Log!$G$2:$G$3000&lt;&gt;"")),Interaction_Log!$G$2:$G$3000),"")</f>
        <v/>
      </c>
      <c r="F75" s="5" t="str">
        <f aca="false">IFERROR(INDEX(Lists!$C$2:$C$12,MATCH($C75,Lists!$A$2:$A$12,0)),"")</f>
        <v>Low</v>
      </c>
      <c r="G75" s="5" t="str">
        <f aca="false">IFERROR(INDEX(Lists!$D$2:$D$12,MATCH($C75,Lists!$A$2:$A$12,0)),"")</f>
        <v>Retry</v>
      </c>
      <c r="H75" s="5" t="str">
        <f aca="false">IF(OR($D75="Converted",$D75="Closed"),"—",IF($E75="","Not Scheduled",IF($E75&lt;CRM_Dashboard!$B$3,"Overdue",IF($E75=CRM_Dashboard!$B$3,"Due Today","Upcoming"))))</f>
        <v>Not Scheduled</v>
      </c>
      <c r="I75" s="5" t="n">
        <f aca="false">COUNTIF(Interaction_Log!$B$2:$B$3000,$A75)</f>
        <v>4</v>
      </c>
      <c r="J75" s="5" t="str">
        <f aca="false">IF(COUNTIFS(Interaction_Log!$B$2:$B$3000,$A75,Interaction_Log!$E$2:$E$3000,"Details Sent")&gt;0,"Yes","No")</f>
        <v>No</v>
      </c>
      <c r="K75" s="2" t="str">
        <f aca="false">IF(AND(COUNTIFS(Interaction_Log!$B$2:$B$3000,$A75,Interaction_Log!$E$2:$E$3000,"Paid")&gt;0,$C75&lt;&gt;"Paid"),"Paid then re-opened","")</f>
        <v>Paid then re-opened</v>
      </c>
    </row>
    <row r="76" customFormat="false" ht="15" hidden="false" customHeight="false" outlineLevel="0" collapsed="false">
      <c r="A76" s="2" t="s">
        <v>328</v>
      </c>
      <c r="B76" s="2" t="str">
        <f aca="false">IFERROR(INDEX(Lead_Master!$B$2:$B$1000,MATCH($A76,Lead_Master!$A$2:$A$1000,0)),"")</f>
        <v>Vivek Pandey</v>
      </c>
      <c r="C76" s="2" t="str">
        <f aca="false">IFERROR(LOOKUP(2,1/(Interaction_Log!$B$2:$B$3000=$A76),Interaction_Log!$E$2:$E$3000),"No contact")</f>
        <v>Details Sent</v>
      </c>
      <c r="D76" s="5" t="str">
        <f aca="false">IFERROR(INDEX(Lists!$B$2:$B$12,MATCH($C76,Lists!$A$2:$A$12,0)),"Unmapped")</f>
        <v>Follow Up</v>
      </c>
      <c r="E76" s="4" t="n">
        <f aca="false">IFERROR(LOOKUP(2,1/((Interaction_Log!$B$2:$B$3000=$A76)*(Interaction_Log!$G$2:$G$3000&lt;&gt;"")),Interaction_Log!$G$2:$G$3000),"")</f>
        <v>46234</v>
      </c>
      <c r="F76" s="5" t="str">
        <f aca="false">IFERROR(INDEX(Lists!$C$2:$C$12,MATCH($C76,Lists!$A$2:$A$12,0)),"")</f>
        <v>High</v>
      </c>
      <c r="G76" s="5" t="str">
        <f aca="false">IFERROR(INDEX(Lists!$D$2:$D$12,MATCH($C76,Lists!$A$2:$A$12,0)),"")</f>
        <v>Call</v>
      </c>
      <c r="H76" s="5" t="str">
        <f aca="false">IF(OR($D76="Converted",$D76="Closed"),"—",IF($E76="","Not Scheduled",IF($E76&lt;CRM_Dashboard!$B$3,"Overdue",IF($E76=CRM_Dashboard!$B$3,"Due Today","Upcoming"))))</f>
        <v>Overdue</v>
      </c>
      <c r="I76" s="5" t="n">
        <f aca="false">COUNTIF(Interaction_Log!$B$2:$B$3000,$A76)</f>
        <v>1</v>
      </c>
      <c r="J76" s="5" t="str">
        <f aca="false">IF(COUNTIFS(Interaction_Log!$B$2:$B$3000,$A76,Interaction_Log!$E$2:$E$3000,"Details Sent")&gt;0,"Yes","No")</f>
        <v>Yes</v>
      </c>
      <c r="K76" s="2" t="str">
        <f aca="false">IF(AND(COUNTIFS(Interaction_Log!$B$2:$B$3000,$A76,Interaction_Log!$E$2:$E$3000,"Paid")&gt;0,$C76&lt;&gt;"Paid"),"Paid then re-opened","")</f>
        <v/>
      </c>
    </row>
    <row r="77" customFormat="false" ht="15" hidden="false" customHeight="false" outlineLevel="0" collapsed="false">
      <c r="A77" s="2" t="s">
        <v>332</v>
      </c>
      <c r="B77" s="2" t="str">
        <f aca="false">IFERROR(INDEX(Lead_Master!$B$2:$B$1000,MATCH($A77,Lead_Master!$A$2:$A$1000,0)),"")</f>
        <v>Arjun Rathore</v>
      </c>
      <c r="C77" s="2" t="str">
        <f aca="false">IFERROR(LOOKUP(2,1/(Interaction_Log!$B$2:$B$3000=$A77),Interaction_Log!$E$2:$E$3000),"No contact")</f>
        <v>DNP</v>
      </c>
      <c r="D77" s="5" t="str">
        <f aca="false">IFERROR(INDEX(Lists!$B$2:$B$12,MATCH($C77,Lists!$A$2:$A$12,0)),"Unmapped")</f>
        <v>Pending</v>
      </c>
      <c r="E77" s="4" t="str">
        <f aca="false">IFERROR(LOOKUP(2,1/((Interaction_Log!$B$2:$B$3000=$A77)*(Interaction_Log!$G$2:$G$3000&lt;&gt;"")),Interaction_Log!$G$2:$G$3000),"")</f>
        <v/>
      </c>
      <c r="F77" s="5" t="str">
        <f aca="false">IFERROR(INDEX(Lists!$C$2:$C$12,MATCH($C77,Lists!$A$2:$A$12,0)),"")</f>
        <v>Low</v>
      </c>
      <c r="G77" s="5" t="str">
        <f aca="false">IFERROR(INDEX(Lists!$D$2:$D$12,MATCH($C77,Lists!$A$2:$A$12,0)),"")</f>
        <v>Retry</v>
      </c>
      <c r="H77" s="5" t="str">
        <f aca="false">IF(OR($D77="Converted",$D77="Closed"),"—",IF($E77="","Not Scheduled",IF($E77&lt;CRM_Dashboard!$B$3,"Overdue",IF($E77=CRM_Dashboard!$B$3,"Due Today","Upcoming"))))</f>
        <v>Not Scheduled</v>
      </c>
      <c r="I77" s="5" t="n">
        <f aca="false">COUNTIF(Interaction_Log!$B$2:$B$3000,$A77)</f>
        <v>1</v>
      </c>
      <c r="J77" s="5" t="str">
        <f aca="false">IF(COUNTIFS(Interaction_Log!$B$2:$B$3000,$A77,Interaction_Log!$E$2:$E$3000,"Details Sent")&gt;0,"Yes","No")</f>
        <v>No</v>
      </c>
      <c r="K77" s="2" t="str">
        <f aca="false">IF(AND(COUNTIFS(Interaction_Log!$B$2:$B$3000,$A77,Interaction_Log!$E$2:$E$3000,"Paid")&gt;0,$C77&lt;&gt;"Paid"),"Paid then re-opened","")</f>
        <v/>
      </c>
    </row>
    <row r="78" customFormat="false" ht="15" hidden="false" customHeight="false" outlineLevel="0" collapsed="false">
      <c r="A78" s="2" t="s">
        <v>336</v>
      </c>
      <c r="B78" s="2" t="str">
        <f aca="false">IFERROR(INDEX(Lead_Master!$B$2:$B$1000,MATCH($A78,Lead_Master!$A$2:$A$1000,0)),"")</f>
        <v>Neha Sharma</v>
      </c>
      <c r="C78" s="2" t="str">
        <f aca="false">IFERROR(LOOKUP(2,1/(Interaction_Log!$B$2:$B$3000=$A78),Interaction_Log!$E$2:$E$3000),"No contact")</f>
        <v>Paid</v>
      </c>
      <c r="D78" s="5" t="str">
        <f aca="false">IFERROR(INDEX(Lists!$B$2:$B$12,MATCH($C78,Lists!$A$2:$A$12,0)),"Unmapped")</f>
        <v>Converted</v>
      </c>
      <c r="E78" s="4" t="str">
        <f aca="false">IFERROR(LOOKUP(2,1/((Interaction_Log!$B$2:$B$3000=$A78)*(Interaction_Log!$G$2:$G$3000&lt;&gt;"")),Interaction_Log!$G$2:$G$3000),"")</f>
        <v/>
      </c>
      <c r="F78" s="5" t="str">
        <f aca="false">IFERROR(INDEX(Lists!$C$2:$C$12,MATCH($C78,Lists!$A$2:$A$12,0)),"")</f>
        <v>—</v>
      </c>
      <c r="G78" s="5" t="str">
        <f aca="false">IFERROR(INDEX(Lists!$D$2:$D$12,MATCH($C78,Lists!$A$2:$A$12,0)),"")</f>
        <v>Onboard</v>
      </c>
      <c r="H78" s="5" t="str">
        <f aca="false">IF(OR($D78="Converted",$D78="Closed"),"—",IF($E78="","Not Scheduled",IF($E78&lt;CRM_Dashboard!$B$3,"Overdue",IF($E78=CRM_Dashboard!$B$3,"Due Today","Upcoming"))))</f>
        <v>—</v>
      </c>
      <c r="I78" s="5" t="n">
        <f aca="false">COUNTIF(Interaction_Log!$B$2:$B$3000,$A78)</f>
        <v>1</v>
      </c>
      <c r="J78" s="5" t="str">
        <f aca="false">IF(COUNTIFS(Interaction_Log!$B$2:$B$3000,$A78,Interaction_Log!$E$2:$E$3000,"Details Sent")&gt;0,"Yes","No")</f>
        <v>No</v>
      </c>
      <c r="K78" s="2" t="str">
        <f aca="false">IF(AND(COUNTIFS(Interaction_Log!$B$2:$B$3000,$A78,Interaction_Log!$E$2:$E$3000,"Paid")&gt;0,$C78&lt;&gt;"Paid"),"Paid then re-opened","")</f>
        <v/>
      </c>
    </row>
    <row r="79" customFormat="false" ht="15" hidden="false" customHeight="false" outlineLevel="0" collapsed="false">
      <c r="A79" s="2" t="s">
        <v>340</v>
      </c>
      <c r="B79" s="2" t="str">
        <f aca="false">IFERROR(INDEX(Lead_Master!$B$2:$B$1000,MATCH($A79,Lead_Master!$A$2:$A$1000,0)),"")</f>
        <v>Shreya Gupta</v>
      </c>
      <c r="C79" s="2" t="str">
        <f aca="false">IFERROR(LOOKUP(2,1/(Interaction_Log!$B$2:$B$3000=$A79),Interaction_Log!$E$2:$E$3000),"No contact")</f>
        <v>Follow Up</v>
      </c>
      <c r="D79" s="5" t="str">
        <f aca="false">IFERROR(INDEX(Lists!$B$2:$B$12,MATCH($C79,Lists!$A$2:$A$12,0)),"Unmapped")</f>
        <v>Follow Up</v>
      </c>
      <c r="E79" s="4" t="n">
        <f aca="false">IFERROR(LOOKUP(2,1/((Interaction_Log!$B$2:$B$3000=$A79)*(Interaction_Log!$G$2:$G$3000&lt;&gt;"")),Interaction_Log!$G$2:$G$3000),"")</f>
        <v>46285</v>
      </c>
      <c r="F79" s="5" t="str">
        <f aca="false">IFERROR(INDEX(Lists!$C$2:$C$12,MATCH($C79,Lists!$A$2:$A$12,0)),"")</f>
        <v>High</v>
      </c>
      <c r="G79" s="5" t="str">
        <f aca="false">IFERROR(INDEX(Lists!$D$2:$D$12,MATCH($C79,Lists!$A$2:$A$12,0)),"")</f>
        <v>Call</v>
      </c>
      <c r="H79" s="5" t="str">
        <f aca="false">IF(OR($D79="Converted",$D79="Closed"),"—",IF($E79="","Not Scheduled",IF($E79&lt;CRM_Dashboard!$B$3,"Overdue",IF($E79=CRM_Dashboard!$B$3,"Due Today","Upcoming"))))</f>
        <v>Overdue</v>
      </c>
      <c r="I79" s="5" t="n">
        <f aca="false">COUNTIF(Interaction_Log!$B$2:$B$3000,$A79)</f>
        <v>3</v>
      </c>
      <c r="J79" s="5" t="str">
        <f aca="false">IF(COUNTIFS(Interaction_Log!$B$2:$B$3000,$A79,Interaction_Log!$E$2:$E$3000,"Details Sent")&gt;0,"Yes","No")</f>
        <v>No</v>
      </c>
      <c r="K79" s="2" t="str">
        <f aca="false">IF(AND(COUNTIFS(Interaction_Log!$B$2:$B$3000,$A79,Interaction_Log!$E$2:$E$3000,"Paid")&gt;0,$C79&lt;&gt;"Paid"),"Paid then re-opened","")</f>
        <v/>
      </c>
    </row>
    <row r="80" customFormat="false" ht="15" hidden="false" customHeight="false" outlineLevel="0" collapsed="false">
      <c r="A80" s="2" t="s">
        <v>344</v>
      </c>
      <c r="B80" s="2" t="str">
        <f aca="false">IFERROR(INDEX(Lead_Master!$B$2:$B$1000,MATCH($A80,Lead_Master!$A$2:$A$1000,0)),"")</f>
        <v>Sakshi Patel</v>
      </c>
      <c r="C80" s="2" t="str">
        <f aca="false">IFERROR(LOOKUP(2,1/(Interaction_Log!$B$2:$B$3000=$A80),Interaction_Log!$E$2:$E$3000),"No contact")</f>
        <v>Wrong Number</v>
      </c>
      <c r="D80" s="5" t="str">
        <f aca="false">IFERROR(INDEX(Lists!$B$2:$B$12,MATCH($C80,Lists!$A$2:$A$12,0)),"Unmapped")</f>
        <v>Closed</v>
      </c>
      <c r="E80" s="4" t="str">
        <f aca="false">IFERROR(LOOKUP(2,1/((Interaction_Log!$B$2:$B$3000=$A80)*(Interaction_Log!$G$2:$G$3000&lt;&gt;"")),Interaction_Log!$G$2:$G$3000),"")</f>
        <v/>
      </c>
      <c r="F80" s="5" t="str">
        <f aca="false">IFERROR(INDEX(Lists!$C$2:$C$12,MATCH($C80,Lists!$A$2:$A$12,0)),"")</f>
        <v>—</v>
      </c>
      <c r="G80" s="5" t="str">
        <f aca="false">IFERROR(INDEX(Lists!$D$2:$D$12,MATCH($C80,Lists!$A$2:$A$12,0)),"")</f>
        <v>Verify number</v>
      </c>
      <c r="H80" s="5" t="str">
        <f aca="false">IF(OR($D80="Converted",$D80="Closed"),"—",IF($E80="","Not Scheduled",IF($E80&lt;CRM_Dashboard!$B$3,"Overdue",IF($E80=CRM_Dashboard!$B$3,"Due Today","Upcoming"))))</f>
        <v>—</v>
      </c>
      <c r="I80" s="5" t="n">
        <f aca="false">COUNTIF(Interaction_Log!$B$2:$B$3000,$A80)</f>
        <v>1</v>
      </c>
      <c r="J80" s="5" t="str">
        <f aca="false">IF(COUNTIFS(Interaction_Log!$B$2:$B$3000,$A80,Interaction_Log!$E$2:$E$3000,"Details Sent")&gt;0,"Yes","No")</f>
        <v>No</v>
      </c>
      <c r="K80" s="2" t="str">
        <f aca="false">IF(AND(COUNTIFS(Interaction_Log!$B$2:$B$3000,$A80,Interaction_Log!$E$2:$E$3000,"Paid")&gt;0,$C80&lt;&gt;"Paid"),"Paid then re-opened","")</f>
        <v/>
      </c>
    </row>
    <row r="81" customFormat="false" ht="15" hidden="false" customHeight="false" outlineLevel="0" collapsed="false">
      <c r="A81" s="2" t="s">
        <v>348</v>
      </c>
      <c r="B81" s="2" t="str">
        <f aca="false">IFERROR(INDEX(Lead_Master!$B$2:$B$1000,MATCH($A81,Lead_Master!$A$2:$A$1000,0)),"")</f>
        <v>Nidhi Pandey</v>
      </c>
      <c r="C81" s="2" t="str">
        <f aca="false">IFERROR(LOOKUP(2,1/(Interaction_Log!$B$2:$B$3000=$A81),Interaction_Log!$E$2:$E$3000),"No contact")</f>
        <v>Not Reachable</v>
      </c>
      <c r="D81" s="5" t="str">
        <f aca="false">IFERROR(INDEX(Lists!$B$2:$B$12,MATCH($C81,Lists!$A$2:$A$12,0)),"Unmapped")</f>
        <v>Pending</v>
      </c>
      <c r="E81" s="4" t="str">
        <f aca="false">IFERROR(LOOKUP(2,1/((Interaction_Log!$B$2:$B$3000=$A81)*(Interaction_Log!$G$2:$G$3000&lt;&gt;"")),Interaction_Log!$G$2:$G$3000),"")</f>
        <v/>
      </c>
      <c r="F81" s="5" t="str">
        <f aca="false">IFERROR(INDEX(Lists!$C$2:$C$12,MATCH($C81,Lists!$A$2:$A$12,0)),"")</f>
        <v>Low</v>
      </c>
      <c r="G81" s="5" t="str">
        <f aca="false">IFERROR(INDEX(Lists!$D$2:$D$12,MATCH($C81,Lists!$A$2:$A$12,0)),"")</f>
        <v>Retry</v>
      </c>
      <c r="H81" s="5" t="str">
        <f aca="false">IF(OR($D81="Converted",$D81="Closed"),"—",IF($E81="","Not Scheduled",IF($E81&lt;CRM_Dashboard!$B$3,"Overdue",IF($E81=CRM_Dashboard!$B$3,"Due Today","Upcoming"))))</f>
        <v>Not Scheduled</v>
      </c>
      <c r="I81" s="5" t="n">
        <f aca="false">COUNTIF(Interaction_Log!$B$2:$B$3000,$A81)</f>
        <v>2</v>
      </c>
      <c r="J81" s="5" t="str">
        <f aca="false">IF(COUNTIFS(Interaction_Log!$B$2:$B$3000,$A81,Interaction_Log!$E$2:$E$3000,"Details Sent")&gt;0,"Yes","No")</f>
        <v>No</v>
      </c>
      <c r="K81" s="2" t="str">
        <f aca="false">IF(AND(COUNTIFS(Interaction_Log!$B$2:$B$3000,$A81,Interaction_Log!$E$2:$E$3000,"Paid")&gt;0,$C81&lt;&gt;"Paid"),"Paid then re-opened","")</f>
        <v/>
      </c>
    </row>
    <row r="82" customFormat="false" ht="15" hidden="false" customHeight="false" outlineLevel="0" collapsed="false">
      <c r="A82" s="2" t="s">
        <v>352</v>
      </c>
      <c r="B82" s="2" t="str">
        <f aca="false">IFERROR(INDEX(Lead_Master!$B$2:$B$1000,MATCH($A82,Lead_Master!$A$2:$A$1000,0)),"")</f>
        <v>Ananya Singh</v>
      </c>
      <c r="C82" s="2" t="str">
        <f aca="false">IFERROR(LOOKUP(2,1/(Interaction_Log!$B$2:$B$3000=$A82),Interaction_Log!$E$2:$E$3000),"No contact")</f>
        <v>Paid</v>
      </c>
      <c r="D82" s="5" t="str">
        <f aca="false">IFERROR(INDEX(Lists!$B$2:$B$12,MATCH($C82,Lists!$A$2:$A$12,0)),"Unmapped")</f>
        <v>Converted</v>
      </c>
      <c r="E82" s="4" t="str">
        <f aca="false">IFERROR(LOOKUP(2,1/((Interaction_Log!$B$2:$B$3000=$A82)*(Interaction_Log!$G$2:$G$3000&lt;&gt;"")),Interaction_Log!$G$2:$G$3000),"")</f>
        <v/>
      </c>
      <c r="F82" s="5" t="str">
        <f aca="false">IFERROR(INDEX(Lists!$C$2:$C$12,MATCH($C82,Lists!$A$2:$A$12,0)),"")</f>
        <v>—</v>
      </c>
      <c r="G82" s="5" t="str">
        <f aca="false">IFERROR(INDEX(Lists!$D$2:$D$12,MATCH($C82,Lists!$A$2:$A$12,0)),"")</f>
        <v>Onboard</v>
      </c>
      <c r="H82" s="5" t="str">
        <f aca="false">IF(OR($D82="Converted",$D82="Closed"),"—",IF($E82="","Not Scheduled",IF($E82&lt;CRM_Dashboard!$B$3,"Overdue",IF($E82=CRM_Dashboard!$B$3,"Due Today","Upcoming"))))</f>
        <v>—</v>
      </c>
      <c r="I82" s="5" t="n">
        <f aca="false">COUNTIF(Interaction_Log!$B$2:$B$3000,$A82)</f>
        <v>4</v>
      </c>
      <c r="J82" s="5" t="str">
        <f aca="false">IF(COUNTIFS(Interaction_Log!$B$2:$B$3000,$A82,Interaction_Log!$E$2:$E$3000,"Details Sent")&gt;0,"Yes","No")</f>
        <v>No</v>
      </c>
      <c r="K82" s="2" t="str">
        <f aca="false">IF(AND(COUNTIFS(Interaction_Log!$B$2:$B$3000,$A82,Interaction_Log!$E$2:$E$3000,"Paid")&gt;0,$C82&lt;&gt;"Paid"),"Paid then re-opened","")</f>
        <v/>
      </c>
    </row>
    <row r="83" customFormat="false" ht="15" hidden="false" customHeight="false" outlineLevel="0" collapsed="false">
      <c r="A83" s="2" t="s">
        <v>356</v>
      </c>
      <c r="B83" s="2" t="str">
        <f aca="false">IFERROR(INDEX(Lead_Master!$B$2:$B$1000,MATCH($A83,Lead_Master!$A$2:$A$1000,0)),"")</f>
        <v>Sakshi Mehta</v>
      </c>
      <c r="C83" s="2" t="str">
        <f aca="false">IFERROR(LOOKUP(2,1/(Interaction_Log!$B$2:$B$3000=$A83),Interaction_Log!$E$2:$E$3000),"No contact")</f>
        <v>DNP</v>
      </c>
      <c r="D83" s="5" t="str">
        <f aca="false">IFERROR(INDEX(Lists!$B$2:$B$12,MATCH($C83,Lists!$A$2:$A$12,0)),"Unmapped")</f>
        <v>Pending</v>
      </c>
      <c r="E83" s="4" t="str">
        <f aca="false">IFERROR(LOOKUP(2,1/((Interaction_Log!$B$2:$B$3000=$A83)*(Interaction_Log!$G$2:$G$3000&lt;&gt;"")),Interaction_Log!$G$2:$G$3000),"")</f>
        <v/>
      </c>
      <c r="F83" s="5" t="str">
        <f aca="false">IFERROR(INDEX(Lists!$C$2:$C$12,MATCH($C83,Lists!$A$2:$A$12,0)),"")</f>
        <v>Low</v>
      </c>
      <c r="G83" s="5" t="str">
        <f aca="false">IFERROR(INDEX(Lists!$D$2:$D$12,MATCH($C83,Lists!$A$2:$A$12,0)),"")</f>
        <v>Retry</v>
      </c>
      <c r="H83" s="5" t="str">
        <f aca="false">IF(OR($D83="Converted",$D83="Closed"),"—",IF($E83="","Not Scheduled",IF($E83&lt;CRM_Dashboard!$B$3,"Overdue",IF($E83=CRM_Dashboard!$B$3,"Due Today","Upcoming"))))</f>
        <v>Not Scheduled</v>
      </c>
      <c r="I83" s="5" t="n">
        <f aca="false">COUNTIF(Interaction_Log!$B$2:$B$3000,$A83)</f>
        <v>3</v>
      </c>
      <c r="J83" s="5" t="str">
        <f aca="false">IF(COUNTIFS(Interaction_Log!$B$2:$B$3000,$A83,Interaction_Log!$E$2:$E$3000,"Details Sent")&gt;0,"Yes","No")</f>
        <v>No</v>
      </c>
      <c r="K83" s="2" t="str">
        <f aca="false">IF(AND(COUNTIFS(Interaction_Log!$B$2:$B$3000,$A83,Interaction_Log!$E$2:$E$3000,"Paid")&gt;0,$C83&lt;&gt;"Paid"),"Paid then re-opened","")</f>
        <v/>
      </c>
    </row>
    <row r="84" customFormat="false" ht="15" hidden="false" customHeight="false" outlineLevel="0" collapsed="false">
      <c r="A84" s="2" t="s">
        <v>360</v>
      </c>
      <c r="B84" s="2" t="str">
        <f aca="false">IFERROR(INDEX(Lead_Master!$B$2:$B$1000,MATCH($A84,Lead_Master!$A$2:$A$1000,0)),"")</f>
        <v>Harsh Agarwal</v>
      </c>
      <c r="C84" s="2" t="str">
        <f aca="false">IFERROR(LOOKUP(2,1/(Interaction_Log!$B$2:$B$3000=$A84),Interaction_Log!$E$2:$E$3000),"No contact")</f>
        <v>Message Sent</v>
      </c>
      <c r="D84" s="5" t="str">
        <f aca="false">IFERROR(INDEX(Lists!$B$2:$B$12,MATCH($C84,Lists!$A$2:$A$12,0)),"Unmapped")</f>
        <v>Follow Up</v>
      </c>
      <c r="E84" s="4" t="n">
        <f aca="false">IFERROR(LOOKUP(2,1/((Interaction_Log!$B$2:$B$3000=$A84)*(Interaction_Log!$G$2:$G$3000&lt;&gt;"")),Interaction_Log!$G$2:$G$3000),"")</f>
        <v>46246</v>
      </c>
      <c r="F84" s="5" t="str">
        <f aca="false">IFERROR(INDEX(Lists!$C$2:$C$12,MATCH($C84,Lists!$A$2:$A$12,0)),"")</f>
        <v>Medium</v>
      </c>
      <c r="G84" s="5" t="str">
        <f aca="false">IFERROR(INDEX(Lists!$D$2:$D$12,MATCH($C84,Lists!$A$2:$A$12,0)),"")</f>
        <v>Call</v>
      </c>
      <c r="H84" s="5" t="str">
        <f aca="false">IF(OR($D84="Converted",$D84="Closed"),"—",IF($E84="","Not Scheduled",IF($E84&lt;CRM_Dashboard!$B$3,"Overdue",IF($E84=CRM_Dashboard!$B$3,"Due Today","Upcoming"))))</f>
        <v>Overdue</v>
      </c>
      <c r="I84" s="5" t="n">
        <f aca="false">COUNTIF(Interaction_Log!$B$2:$B$3000,$A84)</f>
        <v>4</v>
      </c>
      <c r="J84" s="5" t="str">
        <f aca="false">IF(COUNTIFS(Interaction_Log!$B$2:$B$3000,$A84,Interaction_Log!$E$2:$E$3000,"Details Sent")&gt;0,"Yes","No")</f>
        <v>No</v>
      </c>
      <c r="K84" s="2" t="str">
        <f aca="false">IF(AND(COUNTIFS(Interaction_Log!$B$2:$B$3000,$A84,Interaction_Log!$E$2:$E$3000,"Paid")&gt;0,$C84&lt;&gt;"Paid"),"Paid then re-opened","")</f>
        <v/>
      </c>
    </row>
    <row r="85" customFormat="false" ht="15" hidden="false" customHeight="false" outlineLevel="0" collapsed="false">
      <c r="A85" s="2" t="s">
        <v>364</v>
      </c>
      <c r="B85" s="2" t="str">
        <f aca="false">IFERROR(INDEX(Lead_Master!$B$2:$B$1000,MATCH($A85,Lead_Master!$A$2:$A$1000,0)),"")</f>
        <v>Sakshi Agarwal</v>
      </c>
      <c r="C85" s="2" t="str">
        <f aca="false">IFERROR(LOOKUP(2,1/(Interaction_Log!$B$2:$B$3000=$A85),Interaction_Log!$E$2:$E$3000),"No contact")</f>
        <v>Paid</v>
      </c>
      <c r="D85" s="5" t="str">
        <f aca="false">IFERROR(INDEX(Lists!$B$2:$B$12,MATCH($C85,Lists!$A$2:$A$12,0)),"Unmapped")</f>
        <v>Converted</v>
      </c>
      <c r="E85" s="4" t="str">
        <f aca="false">IFERROR(LOOKUP(2,1/((Interaction_Log!$B$2:$B$3000=$A85)*(Interaction_Log!$G$2:$G$3000&lt;&gt;"")),Interaction_Log!$G$2:$G$3000),"")</f>
        <v/>
      </c>
      <c r="F85" s="5" t="str">
        <f aca="false">IFERROR(INDEX(Lists!$C$2:$C$12,MATCH($C85,Lists!$A$2:$A$12,0)),"")</f>
        <v>—</v>
      </c>
      <c r="G85" s="5" t="str">
        <f aca="false">IFERROR(INDEX(Lists!$D$2:$D$12,MATCH($C85,Lists!$A$2:$A$12,0)),"")</f>
        <v>Onboard</v>
      </c>
      <c r="H85" s="5" t="str">
        <f aca="false">IF(OR($D85="Converted",$D85="Closed"),"—",IF($E85="","Not Scheduled",IF($E85&lt;CRM_Dashboard!$B$3,"Overdue",IF($E85=CRM_Dashboard!$B$3,"Due Today","Upcoming"))))</f>
        <v>—</v>
      </c>
      <c r="I85" s="5" t="n">
        <f aca="false">COUNTIF(Interaction_Log!$B$2:$B$3000,$A85)</f>
        <v>4</v>
      </c>
      <c r="J85" s="5" t="str">
        <f aca="false">IF(COUNTIFS(Interaction_Log!$B$2:$B$3000,$A85,Interaction_Log!$E$2:$E$3000,"Details Sent")&gt;0,"Yes","No")</f>
        <v>No</v>
      </c>
      <c r="K85" s="2" t="str">
        <f aca="false">IF(AND(COUNTIFS(Interaction_Log!$B$2:$B$3000,$A85,Interaction_Log!$E$2:$E$3000,"Paid")&gt;0,$C85&lt;&gt;"Paid"),"Paid then re-opened","")</f>
        <v/>
      </c>
    </row>
    <row r="86" customFormat="false" ht="15" hidden="false" customHeight="false" outlineLevel="0" collapsed="false">
      <c r="A86" s="2" t="s">
        <v>368</v>
      </c>
      <c r="B86" s="2" t="str">
        <f aca="false">IFERROR(INDEX(Lead_Master!$B$2:$B$1000,MATCH($A86,Lead_Master!$A$2:$A$1000,0)),"")</f>
        <v>Priya Jain</v>
      </c>
      <c r="C86" s="2" t="str">
        <f aca="false">IFERROR(LOOKUP(2,1/(Interaction_Log!$B$2:$B$3000=$A86),Interaction_Log!$E$2:$E$3000),"No contact")</f>
        <v>Call Cut</v>
      </c>
      <c r="D86" s="5" t="str">
        <f aca="false">IFERROR(INDEX(Lists!$B$2:$B$12,MATCH($C86,Lists!$A$2:$A$12,0)),"Unmapped")</f>
        <v>Pending</v>
      </c>
      <c r="E86" s="4" t="str">
        <f aca="false">IFERROR(LOOKUP(2,1/((Interaction_Log!$B$2:$B$3000=$A86)*(Interaction_Log!$G$2:$G$3000&lt;&gt;"")),Interaction_Log!$G$2:$G$3000),"")</f>
        <v/>
      </c>
      <c r="F86" s="5" t="str">
        <f aca="false">IFERROR(INDEX(Lists!$C$2:$C$12,MATCH($C86,Lists!$A$2:$A$12,0)),"")</f>
        <v>Medium</v>
      </c>
      <c r="G86" s="5" t="str">
        <f aca="false">IFERROR(INDEX(Lists!$D$2:$D$12,MATCH($C86,Lists!$A$2:$A$12,0)),"")</f>
        <v>Retry</v>
      </c>
      <c r="H86" s="5" t="str">
        <f aca="false">IF(OR($D86="Converted",$D86="Closed"),"—",IF($E86="","Not Scheduled",IF($E86&lt;CRM_Dashboard!$B$3,"Overdue",IF($E86=CRM_Dashboard!$B$3,"Due Today","Upcoming"))))</f>
        <v>Not Scheduled</v>
      </c>
      <c r="I86" s="5" t="n">
        <f aca="false">COUNTIF(Interaction_Log!$B$2:$B$3000,$A86)</f>
        <v>3</v>
      </c>
      <c r="J86" s="5" t="str">
        <f aca="false">IF(COUNTIFS(Interaction_Log!$B$2:$B$3000,$A86,Interaction_Log!$E$2:$E$3000,"Details Sent")&gt;0,"Yes","No")</f>
        <v>No</v>
      </c>
      <c r="K86" s="2" t="str">
        <f aca="false">IF(AND(COUNTIFS(Interaction_Log!$B$2:$B$3000,$A86,Interaction_Log!$E$2:$E$3000,"Paid")&gt;0,$C86&lt;&gt;"Paid"),"Paid then re-opened","")</f>
        <v/>
      </c>
    </row>
    <row r="87" customFormat="false" ht="15" hidden="false" customHeight="false" outlineLevel="0" collapsed="false">
      <c r="A87" s="2" t="s">
        <v>372</v>
      </c>
      <c r="B87" s="2" t="str">
        <f aca="false">IFERROR(INDEX(Lead_Master!$B$2:$B$1000,MATCH($A87,Lead_Master!$A$2:$A$1000,0)),"")</f>
        <v>Aditya Sinha</v>
      </c>
      <c r="C87" s="2" t="str">
        <f aca="false">IFERROR(LOOKUP(2,1/(Interaction_Log!$B$2:$B$3000=$A87),Interaction_Log!$E$2:$E$3000),"No contact")</f>
        <v>Not Reachable</v>
      </c>
      <c r="D87" s="5" t="str">
        <f aca="false">IFERROR(INDEX(Lists!$B$2:$B$12,MATCH($C87,Lists!$A$2:$A$12,0)),"Unmapped")</f>
        <v>Pending</v>
      </c>
      <c r="E87" s="4" t="str">
        <f aca="false">IFERROR(LOOKUP(2,1/((Interaction_Log!$B$2:$B$3000=$A87)*(Interaction_Log!$G$2:$G$3000&lt;&gt;"")),Interaction_Log!$G$2:$G$3000),"")</f>
        <v/>
      </c>
      <c r="F87" s="5" t="str">
        <f aca="false">IFERROR(INDEX(Lists!$C$2:$C$12,MATCH($C87,Lists!$A$2:$A$12,0)),"")</f>
        <v>Low</v>
      </c>
      <c r="G87" s="5" t="str">
        <f aca="false">IFERROR(INDEX(Lists!$D$2:$D$12,MATCH($C87,Lists!$A$2:$A$12,0)),"")</f>
        <v>Retry</v>
      </c>
      <c r="H87" s="5" t="str">
        <f aca="false">IF(OR($D87="Converted",$D87="Closed"),"—",IF($E87="","Not Scheduled",IF($E87&lt;CRM_Dashboard!$B$3,"Overdue",IF($E87=CRM_Dashboard!$B$3,"Due Today","Upcoming"))))</f>
        <v>Not Scheduled</v>
      </c>
      <c r="I87" s="5" t="n">
        <f aca="false">COUNTIF(Interaction_Log!$B$2:$B$3000,$A87)</f>
        <v>2</v>
      </c>
      <c r="J87" s="5" t="str">
        <f aca="false">IF(COUNTIFS(Interaction_Log!$B$2:$B$3000,$A87,Interaction_Log!$E$2:$E$3000,"Details Sent")&gt;0,"Yes","No")</f>
        <v>No</v>
      </c>
      <c r="K87" s="2" t="str">
        <f aca="false">IF(AND(COUNTIFS(Interaction_Log!$B$2:$B$3000,$A87,Interaction_Log!$E$2:$E$3000,"Paid")&gt;0,$C87&lt;&gt;"Paid"),"Paid then re-opened","")</f>
        <v/>
      </c>
    </row>
    <row r="88" customFormat="false" ht="15" hidden="false" customHeight="false" outlineLevel="0" collapsed="false">
      <c r="A88" s="2" t="s">
        <v>376</v>
      </c>
      <c r="B88" s="2" t="str">
        <f aca="false">IFERROR(INDEX(Lead_Master!$B$2:$B$1000,MATCH($A88,Lead_Master!$A$2:$A$1000,0)),"")</f>
        <v>Tanya Singh</v>
      </c>
      <c r="C88" s="2" t="str">
        <f aca="false">IFERROR(LOOKUP(2,1/(Interaction_Log!$B$2:$B$3000=$A88),Interaction_Log!$E$2:$E$3000),"No contact")</f>
        <v>DNP</v>
      </c>
      <c r="D88" s="5" t="str">
        <f aca="false">IFERROR(INDEX(Lists!$B$2:$B$12,MATCH($C88,Lists!$A$2:$A$12,0)),"Unmapped")</f>
        <v>Pending</v>
      </c>
      <c r="E88" s="4" t="str">
        <f aca="false">IFERROR(LOOKUP(2,1/((Interaction_Log!$B$2:$B$3000=$A88)*(Interaction_Log!$G$2:$G$3000&lt;&gt;"")),Interaction_Log!$G$2:$G$3000),"")</f>
        <v/>
      </c>
      <c r="F88" s="5" t="str">
        <f aca="false">IFERROR(INDEX(Lists!$C$2:$C$12,MATCH($C88,Lists!$A$2:$A$12,0)),"")</f>
        <v>Low</v>
      </c>
      <c r="G88" s="5" t="str">
        <f aca="false">IFERROR(INDEX(Lists!$D$2:$D$12,MATCH($C88,Lists!$A$2:$A$12,0)),"")</f>
        <v>Retry</v>
      </c>
      <c r="H88" s="5" t="str">
        <f aca="false">IF(OR($D88="Converted",$D88="Closed"),"—",IF($E88="","Not Scheduled",IF($E88&lt;CRM_Dashboard!$B$3,"Overdue",IF($E88=CRM_Dashboard!$B$3,"Due Today","Upcoming"))))</f>
        <v>Not Scheduled</v>
      </c>
      <c r="I88" s="5" t="n">
        <f aca="false">COUNTIF(Interaction_Log!$B$2:$B$3000,$A88)</f>
        <v>1</v>
      </c>
      <c r="J88" s="5" t="str">
        <f aca="false">IF(COUNTIFS(Interaction_Log!$B$2:$B$3000,$A88,Interaction_Log!$E$2:$E$3000,"Details Sent")&gt;0,"Yes","No")</f>
        <v>No</v>
      </c>
      <c r="K88" s="2" t="str">
        <f aca="false">IF(AND(COUNTIFS(Interaction_Log!$B$2:$B$3000,$A88,Interaction_Log!$E$2:$E$3000,"Paid")&gt;0,$C88&lt;&gt;"Paid"),"Paid then re-opened","")</f>
        <v/>
      </c>
    </row>
    <row r="89" customFormat="false" ht="15" hidden="false" customHeight="false" outlineLevel="0" collapsed="false">
      <c r="A89" s="2" t="s">
        <v>380</v>
      </c>
      <c r="B89" s="2" t="str">
        <f aca="false">IFERROR(INDEX(Lead_Master!$B$2:$B$1000,MATCH($A89,Lead_Master!$A$2:$A$1000,0)),"")</f>
        <v>Rahul Sharma</v>
      </c>
      <c r="C89" s="2" t="str">
        <f aca="false">IFERROR(LOOKUP(2,1/(Interaction_Log!$B$2:$B$3000=$A89),Interaction_Log!$E$2:$E$3000),"No contact")</f>
        <v>DNP</v>
      </c>
      <c r="D89" s="5" t="str">
        <f aca="false">IFERROR(INDEX(Lists!$B$2:$B$12,MATCH($C89,Lists!$A$2:$A$12,0)),"Unmapped")</f>
        <v>Pending</v>
      </c>
      <c r="E89" s="4" t="str">
        <f aca="false">IFERROR(LOOKUP(2,1/((Interaction_Log!$B$2:$B$3000=$A89)*(Interaction_Log!$G$2:$G$3000&lt;&gt;"")),Interaction_Log!$G$2:$G$3000),"")</f>
        <v/>
      </c>
      <c r="F89" s="5" t="str">
        <f aca="false">IFERROR(INDEX(Lists!$C$2:$C$12,MATCH($C89,Lists!$A$2:$A$12,0)),"")</f>
        <v>Low</v>
      </c>
      <c r="G89" s="5" t="str">
        <f aca="false">IFERROR(INDEX(Lists!$D$2:$D$12,MATCH($C89,Lists!$A$2:$A$12,0)),"")</f>
        <v>Retry</v>
      </c>
      <c r="H89" s="5" t="str">
        <f aca="false">IF(OR($D89="Converted",$D89="Closed"),"—",IF($E89="","Not Scheduled",IF($E89&lt;CRM_Dashboard!$B$3,"Overdue",IF($E89=CRM_Dashboard!$B$3,"Due Today","Upcoming"))))</f>
        <v>Not Scheduled</v>
      </c>
      <c r="I89" s="5" t="n">
        <f aca="false">COUNTIF(Interaction_Log!$B$2:$B$3000,$A89)</f>
        <v>2</v>
      </c>
      <c r="J89" s="5" t="str">
        <f aca="false">IF(COUNTIFS(Interaction_Log!$B$2:$B$3000,$A89,Interaction_Log!$E$2:$E$3000,"Details Sent")&gt;0,"Yes","No")</f>
        <v>No</v>
      </c>
      <c r="K89" s="2" t="str">
        <f aca="false">IF(AND(COUNTIFS(Interaction_Log!$B$2:$B$3000,$A89,Interaction_Log!$E$2:$E$3000,"Paid")&gt;0,$C89&lt;&gt;"Paid"),"Paid then re-opened","")</f>
        <v/>
      </c>
    </row>
    <row r="90" customFormat="false" ht="15" hidden="false" customHeight="false" outlineLevel="0" collapsed="false">
      <c r="A90" s="2" t="s">
        <v>384</v>
      </c>
      <c r="B90" s="2" t="str">
        <f aca="false">IFERROR(INDEX(Lead_Master!$B$2:$B$1000,MATCH($A90,Lead_Master!$A$2:$A$1000,0)),"")</f>
        <v>Kartik Sinha</v>
      </c>
      <c r="C90" s="2" t="str">
        <f aca="false">IFERROR(LOOKUP(2,1/(Interaction_Log!$B$2:$B$3000=$A90),Interaction_Log!$E$2:$E$3000),"No contact")</f>
        <v>Details Sent</v>
      </c>
      <c r="D90" s="5" t="str">
        <f aca="false">IFERROR(INDEX(Lists!$B$2:$B$12,MATCH($C90,Lists!$A$2:$A$12,0)),"Unmapped")</f>
        <v>Follow Up</v>
      </c>
      <c r="E90" s="4" t="n">
        <f aca="false">IFERROR(LOOKUP(2,1/((Interaction_Log!$B$2:$B$3000=$A90)*(Interaction_Log!$G$2:$G$3000&lt;&gt;"")),Interaction_Log!$G$2:$G$3000),"")</f>
        <v>46260</v>
      </c>
      <c r="F90" s="5" t="str">
        <f aca="false">IFERROR(INDEX(Lists!$C$2:$C$12,MATCH($C90,Lists!$A$2:$A$12,0)),"")</f>
        <v>High</v>
      </c>
      <c r="G90" s="5" t="str">
        <f aca="false">IFERROR(INDEX(Lists!$D$2:$D$12,MATCH($C90,Lists!$A$2:$A$12,0)),"")</f>
        <v>Call</v>
      </c>
      <c r="H90" s="5" t="str">
        <f aca="false">IF(OR($D90="Converted",$D90="Closed"),"—",IF($E90="","Not Scheduled",IF($E90&lt;CRM_Dashboard!$B$3,"Overdue",IF($E90=CRM_Dashboard!$B$3,"Due Today","Upcoming"))))</f>
        <v>Overdue</v>
      </c>
      <c r="I90" s="5" t="n">
        <f aca="false">COUNTIF(Interaction_Log!$B$2:$B$3000,$A90)</f>
        <v>1</v>
      </c>
      <c r="J90" s="5" t="str">
        <f aca="false">IF(COUNTIFS(Interaction_Log!$B$2:$B$3000,$A90,Interaction_Log!$E$2:$E$3000,"Details Sent")&gt;0,"Yes","No")</f>
        <v>Yes</v>
      </c>
      <c r="K90" s="2" t="str">
        <f aca="false">IF(AND(COUNTIFS(Interaction_Log!$B$2:$B$3000,$A90,Interaction_Log!$E$2:$E$3000,"Paid")&gt;0,$C90&lt;&gt;"Paid"),"Paid then re-opened","")</f>
        <v/>
      </c>
    </row>
    <row r="91" customFormat="false" ht="15" hidden="false" customHeight="false" outlineLevel="0" collapsed="false">
      <c r="A91" s="2" t="s">
        <v>388</v>
      </c>
      <c r="B91" s="2" t="str">
        <f aca="false">IFERROR(INDEX(Lead_Master!$B$2:$B$1000,MATCH($A91,Lead_Master!$A$2:$A$1000,0)),"")</f>
        <v>Aditya Mishra</v>
      </c>
      <c r="C91" s="2" t="str">
        <f aca="false">IFERROR(LOOKUP(2,1/(Interaction_Log!$B$2:$B$3000=$A91),Interaction_Log!$E$2:$E$3000),"No contact")</f>
        <v>DNP</v>
      </c>
      <c r="D91" s="5" t="str">
        <f aca="false">IFERROR(INDEX(Lists!$B$2:$B$12,MATCH($C91,Lists!$A$2:$A$12,0)),"Unmapped")</f>
        <v>Pending</v>
      </c>
      <c r="E91" s="4" t="str">
        <f aca="false">IFERROR(LOOKUP(2,1/((Interaction_Log!$B$2:$B$3000=$A91)*(Interaction_Log!$G$2:$G$3000&lt;&gt;"")),Interaction_Log!$G$2:$G$3000),"")</f>
        <v/>
      </c>
      <c r="F91" s="5" t="str">
        <f aca="false">IFERROR(INDEX(Lists!$C$2:$C$12,MATCH($C91,Lists!$A$2:$A$12,0)),"")</f>
        <v>Low</v>
      </c>
      <c r="G91" s="5" t="str">
        <f aca="false">IFERROR(INDEX(Lists!$D$2:$D$12,MATCH($C91,Lists!$A$2:$A$12,0)),"")</f>
        <v>Retry</v>
      </c>
      <c r="H91" s="5" t="str">
        <f aca="false">IF(OR($D91="Converted",$D91="Closed"),"—",IF($E91="","Not Scheduled",IF($E91&lt;CRM_Dashboard!$B$3,"Overdue",IF($E91=CRM_Dashboard!$B$3,"Due Today","Upcoming"))))</f>
        <v>Not Scheduled</v>
      </c>
      <c r="I91" s="5" t="n">
        <f aca="false">COUNTIF(Interaction_Log!$B$2:$B$3000,$A91)</f>
        <v>4</v>
      </c>
      <c r="J91" s="5" t="str">
        <f aca="false">IF(COUNTIFS(Interaction_Log!$B$2:$B$3000,$A91,Interaction_Log!$E$2:$E$3000,"Details Sent")&gt;0,"Yes","No")</f>
        <v>Yes</v>
      </c>
      <c r="K91" s="2" t="str">
        <f aca="false">IF(AND(COUNTIFS(Interaction_Log!$B$2:$B$3000,$A91,Interaction_Log!$E$2:$E$3000,"Paid")&gt;0,$C91&lt;&gt;"Paid"),"Paid then re-opened","")</f>
        <v/>
      </c>
    </row>
    <row r="92" customFormat="false" ht="15" hidden="false" customHeight="false" outlineLevel="0" collapsed="false">
      <c r="A92" s="2" t="s">
        <v>392</v>
      </c>
      <c r="B92" s="2" t="str">
        <f aca="false">IFERROR(INDEX(Lead_Master!$B$2:$B$1000,MATCH($A92,Lead_Master!$A$2:$A$1000,0)),"")</f>
        <v>Arjun Yadav</v>
      </c>
      <c r="C92" s="2" t="str">
        <f aca="false">IFERROR(LOOKUP(2,1/(Interaction_Log!$B$2:$B$3000=$A92),Interaction_Log!$E$2:$E$3000),"No contact")</f>
        <v>DNP</v>
      </c>
      <c r="D92" s="5" t="str">
        <f aca="false">IFERROR(INDEX(Lists!$B$2:$B$12,MATCH($C92,Lists!$A$2:$A$12,0)),"Unmapped")</f>
        <v>Pending</v>
      </c>
      <c r="E92" s="4" t="str">
        <f aca="false">IFERROR(LOOKUP(2,1/((Interaction_Log!$B$2:$B$3000=$A92)*(Interaction_Log!$G$2:$G$3000&lt;&gt;"")),Interaction_Log!$G$2:$G$3000),"")</f>
        <v/>
      </c>
      <c r="F92" s="5" t="str">
        <f aca="false">IFERROR(INDEX(Lists!$C$2:$C$12,MATCH($C92,Lists!$A$2:$A$12,0)),"")</f>
        <v>Low</v>
      </c>
      <c r="G92" s="5" t="str">
        <f aca="false">IFERROR(INDEX(Lists!$D$2:$D$12,MATCH($C92,Lists!$A$2:$A$12,0)),"")</f>
        <v>Retry</v>
      </c>
      <c r="H92" s="5" t="str">
        <f aca="false">IF(OR($D92="Converted",$D92="Closed"),"—",IF($E92="","Not Scheduled",IF($E92&lt;CRM_Dashboard!$B$3,"Overdue",IF($E92=CRM_Dashboard!$B$3,"Due Today","Upcoming"))))</f>
        <v>Not Scheduled</v>
      </c>
      <c r="I92" s="5" t="n">
        <f aca="false">COUNTIF(Interaction_Log!$B$2:$B$3000,$A92)</f>
        <v>3</v>
      </c>
      <c r="J92" s="5" t="str">
        <f aca="false">IF(COUNTIFS(Interaction_Log!$B$2:$B$3000,$A92,Interaction_Log!$E$2:$E$3000,"Details Sent")&gt;0,"Yes","No")</f>
        <v>Yes</v>
      </c>
      <c r="K92" s="2" t="str">
        <f aca="false">IF(AND(COUNTIFS(Interaction_Log!$B$2:$B$3000,$A92,Interaction_Log!$E$2:$E$3000,"Paid")&gt;0,$C92&lt;&gt;"Paid"),"Paid then re-opened","")</f>
        <v/>
      </c>
    </row>
    <row r="93" customFormat="false" ht="15" hidden="false" customHeight="false" outlineLevel="0" collapsed="false">
      <c r="A93" s="2" t="s">
        <v>396</v>
      </c>
      <c r="B93" s="2" t="str">
        <f aca="false">IFERROR(INDEX(Lead_Master!$B$2:$B$1000,MATCH($A93,Lead_Master!$A$2:$A$1000,0)),"")</f>
        <v>Pooja Patel</v>
      </c>
      <c r="C93" s="2" t="str">
        <f aca="false">IFERROR(LOOKUP(2,1/(Interaction_Log!$B$2:$B$3000=$A93),Interaction_Log!$E$2:$E$3000),"No contact")</f>
        <v>Follow Up</v>
      </c>
      <c r="D93" s="5" t="str">
        <f aca="false">IFERROR(INDEX(Lists!$B$2:$B$12,MATCH($C93,Lists!$A$2:$A$12,0)),"Unmapped")</f>
        <v>Follow Up</v>
      </c>
      <c r="E93" s="4" t="n">
        <f aca="false">IFERROR(LOOKUP(2,1/((Interaction_Log!$B$2:$B$3000=$A93)*(Interaction_Log!$G$2:$G$3000&lt;&gt;"")),Interaction_Log!$G$2:$G$3000),"")</f>
        <v>46265</v>
      </c>
      <c r="F93" s="5" t="str">
        <f aca="false">IFERROR(INDEX(Lists!$C$2:$C$12,MATCH($C93,Lists!$A$2:$A$12,0)),"")</f>
        <v>High</v>
      </c>
      <c r="G93" s="5" t="str">
        <f aca="false">IFERROR(INDEX(Lists!$D$2:$D$12,MATCH($C93,Lists!$A$2:$A$12,0)),"")</f>
        <v>Call</v>
      </c>
      <c r="H93" s="5" t="str">
        <f aca="false">IF(OR($D93="Converted",$D93="Closed"),"—",IF($E93="","Not Scheduled",IF($E93&lt;CRM_Dashboard!$B$3,"Overdue",IF($E93=CRM_Dashboard!$B$3,"Due Today","Upcoming"))))</f>
        <v>Overdue</v>
      </c>
      <c r="I93" s="5" t="n">
        <f aca="false">COUNTIF(Interaction_Log!$B$2:$B$3000,$A93)</f>
        <v>4</v>
      </c>
      <c r="J93" s="5" t="str">
        <f aca="false">IF(COUNTIFS(Interaction_Log!$B$2:$B$3000,$A93,Interaction_Log!$E$2:$E$3000,"Details Sent")&gt;0,"Yes","No")</f>
        <v>Yes</v>
      </c>
      <c r="K93" s="2" t="str">
        <f aca="false">IF(AND(COUNTIFS(Interaction_Log!$B$2:$B$3000,$A93,Interaction_Log!$E$2:$E$3000,"Paid")&gt;0,$C93&lt;&gt;"Paid"),"Paid then re-opened","")</f>
        <v/>
      </c>
    </row>
    <row r="94" customFormat="false" ht="15" hidden="false" customHeight="false" outlineLevel="0" collapsed="false">
      <c r="A94" s="2" t="s">
        <v>400</v>
      </c>
      <c r="B94" s="2" t="str">
        <f aca="false">IFERROR(INDEX(Lead_Master!$B$2:$B$1000,MATCH($A94,Lead_Master!$A$2:$A$1000,0)),"")</f>
        <v>Pooja Verma</v>
      </c>
      <c r="C94" s="2" t="str">
        <f aca="false">IFERROR(LOOKUP(2,1/(Interaction_Log!$B$2:$B$3000=$A94),Interaction_Log!$E$2:$E$3000),"No contact")</f>
        <v>Follow Up</v>
      </c>
      <c r="D94" s="5" t="str">
        <f aca="false">IFERROR(INDEX(Lists!$B$2:$B$12,MATCH($C94,Lists!$A$2:$A$12,0)),"Unmapped")</f>
        <v>Follow Up</v>
      </c>
      <c r="E94" s="4" t="n">
        <f aca="false">IFERROR(LOOKUP(2,1/((Interaction_Log!$B$2:$B$3000=$A94)*(Interaction_Log!$G$2:$G$3000&lt;&gt;"")),Interaction_Log!$G$2:$G$3000),"")</f>
        <v>46257</v>
      </c>
      <c r="F94" s="5" t="str">
        <f aca="false">IFERROR(INDEX(Lists!$C$2:$C$12,MATCH($C94,Lists!$A$2:$A$12,0)),"")</f>
        <v>High</v>
      </c>
      <c r="G94" s="5" t="str">
        <f aca="false">IFERROR(INDEX(Lists!$D$2:$D$12,MATCH($C94,Lists!$A$2:$A$12,0)),"")</f>
        <v>Call</v>
      </c>
      <c r="H94" s="5" t="str">
        <f aca="false">IF(OR($D94="Converted",$D94="Closed"),"—",IF($E94="","Not Scheduled",IF($E94&lt;CRM_Dashboard!$B$3,"Overdue",IF($E94=CRM_Dashboard!$B$3,"Due Today","Upcoming"))))</f>
        <v>Overdue</v>
      </c>
      <c r="I94" s="5" t="n">
        <f aca="false">COUNTIF(Interaction_Log!$B$2:$B$3000,$A94)</f>
        <v>2</v>
      </c>
      <c r="J94" s="5" t="str">
        <f aca="false">IF(COUNTIFS(Interaction_Log!$B$2:$B$3000,$A94,Interaction_Log!$E$2:$E$3000,"Details Sent")&gt;0,"Yes","No")</f>
        <v>Yes</v>
      </c>
      <c r="K94" s="2" t="str">
        <f aca="false">IF(AND(COUNTIFS(Interaction_Log!$B$2:$B$3000,$A94,Interaction_Log!$E$2:$E$3000,"Paid")&gt;0,$C94&lt;&gt;"Paid"),"Paid then re-opened","")</f>
        <v/>
      </c>
    </row>
    <row r="95" customFormat="false" ht="15" hidden="false" customHeight="false" outlineLevel="0" collapsed="false">
      <c r="A95" s="2" t="s">
        <v>404</v>
      </c>
      <c r="B95" s="2" t="str">
        <f aca="false">IFERROR(INDEX(Lead_Master!$B$2:$B$1000,MATCH($A95,Lead_Master!$A$2:$A$1000,0)),"")</f>
        <v>Varun Srivastava</v>
      </c>
      <c r="C95" s="2" t="str">
        <f aca="false">IFERROR(LOOKUP(2,1/(Interaction_Log!$B$2:$B$3000=$A95),Interaction_Log!$E$2:$E$3000),"No contact")</f>
        <v>Follow Up</v>
      </c>
      <c r="D95" s="5" t="str">
        <f aca="false">IFERROR(INDEX(Lists!$B$2:$B$12,MATCH($C95,Lists!$A$2:$A$12,0)),"Unmapped")</f>
        <v>Follow Up</v>
      </c>
      <c r="E95" s="4" t="n">
        <f aca="false">IFERROR(LOOKUP(2,1/((Interaction_Log!$B$2:$B$3000=$A95)*(Interaction_Log!$G$2:$G$3000&lt;&gt;"")),Interaction_Log!$G$2:$G$3000),"")</f>
        <v>46218</v>
      </c>
      <c r="F95" s="5" t="str">
        <f aca="false">IFERROR(INDEX(Lists!$C$2:$C$12,MATCH($C95,Lists!$A$2:$A$12,0)),"")</f>
        <v>High</v>
      </c>
      <c r="G95" s="5" t="str">
        <f aca="false">IFERROR(INDEX(Lists!$D$2:$D$12,MATCH($C95,Lists!$A$2:$A$12,0)),"")</f>
        <v>Call</v>
      </c>
      <c r="H95" s="5" t="str">
        <f aca="false">IF(OR($D95="Converted",$D95="Closed"),"—",IF($E95="","Not Scheduled",IF($E95&lt;CRM_Dashboard!$B$3,"Overdue",IF($E95=CRM_Dashboard!$B$3,"Due Today","Upcoming"))))</f>
        <v>Overdue</v>
      </c>
      <c r="I95" s="5" t="n">
        <f aca="false">COUNTIF(Interaction_Log!$B$2:$B$3000,$A95)</f>
        <v>3</v>
      </c>
      <c r="J95" s="5" t="str">
        <f aca="false">IF(COUNTIFS(Interaction_Log!$B$2:$B$3000,$A95,Interaction_Log!$E$2:$E$3000,"Details Sent")&gt;0,"Yes","No")</f>
        <v>No</v>
      </c>
      <c r="K95" s="2" t="str">
        <f aca="false">IF(AND(COUNTIFS(Interaction_Log!$B$2:$B$3000,$A95,Interaction_Log!$E$2:$E$3000,"Paid")&gt;0,$C95&lt;&gt;"Paid"),"Paid then re-opened","")</f>
        <v/>
      </c>
    </row>
    <row r="96" customFormat="false" ht="15" hidden="false" customHeight="false" outlineLevel="0" collapsed="false">
      <c r="A96" s="2" t="s">
        <v>408</v>
      </c>
      <c r="B96" s="2" t="str">
        <f aca="false">IFERROR(INDEX(Lead_Master!$B$2:$B$1000,MATCH($A96,Lead_Master!$A$2:$A$1000,0)),"")</f>
        <v>Sahil Mehta</v>
      </c>
      <c r="C96" s="2" t="str">
        <f aca="false">IFERROR(LOOKUP(2,1/(Interaction_Log!$B$2:$B$3000=$A96),Interaction_Log!$E$2:$E$3000),"No contact")</f>
        <v>Follow Up</v>
      </c>
      <c r="D96" s="5" t="str">
        <f aca="false">IFERROR(INDEX(Lists!$B$2:$B$12,MATCH($C96,Lists!$A$2:$A$12,0)),"Unmapped")</f>
        <v>Follow Up</v>
      </c>
      <c r="E96" s="4" t="n">
        <f aca="false">IFERROR(LOOKUP(2,1/((Interaction_Log!$B$2:$B$3000=$A96)*(Interaction_Log!$G$2:$G$3000&lt;&gt;"")),Interaction_Log!$G$2:$G$3000),"")</f>
        <v>46280</v>
      </c>
      <c r="F96" s="5" t="str">
        <f aca="false">IFERROR(INDEX(Lists!$C$2:$C$12,MATCH($C96,Lists!$A$2:$A$12,0)),"")</f>
        <v>High</v>
      </c>
      <c r="G96" s="5" t="str">
        <f aca="false">IFERROR(INDEX(Lists!$D$2:$D$12,MATCH($C96,Lists!$A$2:$A$12,0)),"")</f>
        <v>Call</v>
      </c>
      <c r="H96" s="5" t="str">
        <f aca="false">IF(OR($D96="Converted",$D96="Closed"),"—",IF($E96="","Not Scheduled",IF($E96&lt;CRM_Dashboard!$B$3,"Overdue",IF($E96=CRM_Dashboard!$B$3,"Due Today","Upcoming"))))</f>
        <v>Overdue</v>
      </c>
      <c r="I96" s="5" t="n">
        <f aca="false">COUNTIF(Interaction_Log!$B$2:$B$3000,$A96)</f>
        <v>1</v>
      </c>
      <c r="J96" s="5" t="str">
        <f aca="false">IF(COUNTIFS(Interaction_Log!$B$2:$B$3000,$A96,Interaction_Log!$E$2:$E$3000,"Details Sent")&gt;0,"Yes","No")</f>
        <v>No</v>
      </c>
      <c r="K96" s="2" t="str">
        <f aca="false">IF(AND(COUNTIFS(Interaction_Log!$B$2:$B$3000,$A96,Interaction_Log!$E$2:$E$3000,"Paid")&gt;0,$C96&lt;&gt;"Paid"),"Paid then re-opened","")</f>
        <v/>
      </c>
    </row>
    <row r="97" customFormat="false" ht="15" hidden="false" customHeight="false" outlineLevel="0" collapsed="false">
      <c r="A97" s="2" t="s">
        <v>412</v>
      </c>
      <c r="B97" s="2" t="str">
        <f aca="false">IFERROR(INDEX(Lead_Master!$B$2:$B$1000,MATCH($A97,Lead_Master!$A$2:$A$1000,0)),"")</f>
        <v>Sneha Rathore</v>
      </c>
      <c r="C97" s="2" t="str">
        <f aca="false">IFERROR(LOOKUP(2,1/(Interaction_Log!$B$2:$B$3000=$A97),Interaction_Log!$E$2:$E$3000),"No contact")</f>
        <v>DNP</v>
      </c>
      <c r="D97" s="5" t="str">
        <f aca="false">IFERROR(INDEX(Lists!$B$2:$B$12,MATCH($C97,Lists!$A$2:$A$12,0)),"Unmapped")</f>
        <v>Pending</v>
      </c>
      <c r="E97" s="4" t="str">
        <f aca="false">IFERROR(LOOKUP(2,1/((Interaction_Log!$B$2:$B$3000=$A97)*(Interaction_Log!$G$2:$G$3000&lt;&gt;"")),Interaction_Log!$G$2:$G$3000),"")</f>
        <v/>
      </c>
      <c r="F97" s="5" t="str">
        <f aca="false">IFERROR(INDEX(Lists!$C$2:$C$12,MATCH($C97,Lists!$A$2:$A$12,0)),"")</f>
        <v>Low</v>
      </c>
      <c r="G97" s="5" t="str">
        <f aca="false">IFERROR(INDEX(Lists!$D$2:$D$12,MATCH($C97,Lists!$A$2:$A$12,0)),"")</f>
        <v>Retry</v>
      </c>
      <c r="H97" s="5" t="str">
        <f aca="false">IF(OR($D97="Converted",$D97="Closed"),"—",IF($E97="","Not Scheduled",IF($E97&lt;CRM_Dashboard!$B$3,"Overdue",IF($E97=CRM_Dashboard!$B$3,"Due Today","Upcoming"))))</f>
        <v>Not Scheduled</v>
      </c>
      <c r="I97" s="5" t="n">
        <f aca="false">COUNTIF(Interaction_Log!$B$2:$B$3000,$A97)</f>
        <v>4</v>
      </c>
      <c r="J97" s="5" t="str">
        <f aca="false">IF(COUNTIFS(Interaction_Log!$B$2:$B$3000,$A97,Interaction_Log!$E$2:$E$3000,"Details Sent")&gt;0,"Yes","No")</f>
        <v>No</v>
      </c>
      <c r="K97" s="2" t="str">
        <f aca="false">IF(AND(COUNTIFS(Interaction_Log!$B$2:$B$3000,$A97,Interaction_Log!$E$2:$E$3000,"Paid")&gt;0,$C97&lt;&gt;"Paid"),"Paid then re-opened","")</f>
        <v/>
      </c>
    </row>
    <row r="98" customFormat="false" ht="15" hidden="false" customHeight="false" outlineLevel="0" collapsed="false">
      <c r="A98" s="2" t="s">
        <v>416</v>
      </c>
      <c r="B98" s="2" t="str">
        <f aca="false">IFERROR(INDEX(Lead_Master!$B$2:$B$1000,MATCH($A98,Lead_Master!$A$2:$A$1000,0)),"")</f>
        <v>Yash Patel</v>
      </c>
      <c r="C98" s="2" t="str">
        <f aca="false">IFERROR(LOOKUP(2,1/(Interaction_Log!$B$2:$B$3000=$A98),Interaction_Log!$E$2:$E$3000),"No contact")</f>
        <v>Switch Off</v>
      </c>
      <c r="D98" s="5" t="str">
        <f aca="false">IFERROR(INDEX(Lists!$B$2:$B$12,MATCH($C98,Lists!$A$2:$A$12,0)),"Unmapped")</f>
        <v>Pending</v>
      </c>
      <c r="E98" s="4" t="str">
        <f aca="false">IFERROR(LOOKUP(2,1/((Interaction_Log!$B$2:$B$3000=$A98)*(Interaction_Log!$G$2:$G$3000&lt;&gt;"")),Interaction_Log!$G$2:$G$3000),"")</f>
        <v/>
      </c>
      <c r="F98" s="5" t="str">
        <f aca="false">IFERROR(INDEX(Lists!$C$2:$C$12,MATCH($C98,Lists!$A$2:$A$12,0)),"")</f>
        <v>Low</v>
      </c>
      <c r="G98" s="5" t="str">
        <f aca="false">IFERROR(INDEX(Lists!$D$2:$D$12,MATCH($C98,Lists!$A$2:$A$12,0)),"")</f>
        <v>Retry</v>
      </c>
      <c r="H98" s="5" t="str">
        <f aca="false">IF(OR($D98="Converted",$D98="Closed"),"—",IF($E98="","Not Scheduled",IF($E98&lt;CRM_Dashboard!$B$3,"Overdue",IF($E98=CRM_Dashboard!$B$3,"Due Today","Upcoming"))))</f>
        <v>Not Scheduled</v>
      </c>
      <c r="I98" s="5" t="n">
        <f aca="false">COUNTIF(Interaction_Log!$B$2:$B$3000,$A98)</f>
        <v>1</v>
      </c>
      <c r="J98" s="5" t="str">
        <f aca="false">IF(COUNTIFS(Interaction_Log!$B$2:$B$3000,$A98,Interaction_Log!$E$2:$E$3000,"Details Sent")&gt;0,"Yes","No")</f>
        <v>No</v>
      </c>
      <c r="K98" s="2" t="str">
        <f aca="false">IF(AND(COUNTIFS(Interaction_Log!$B$2:$B$3000,$A98,Interaction_Log!$E$2:$E$3000,"Paid")&gt;0,$C98&lt;&gt;"Paid"),"Paid then re-opened","")</f>
        <v/>
      </c>
    </row>
    <row r="99" customFormat="false" ht="15" hidden="false" customHeight="false" outlineLevel="0" collapsed="false">
      <c r="A99" s="2" t="s">
        <v>420</v>
      </c>
      <c r="B99" s="2" t="str">
        <f aca="false">IFERROR(INDEX(Lead_Master!$B$2:$B$1000,MATCH($A99,Lead_Master!$A$2:$A$1000,0)),"")</f>
        <v>Khushi Yadav</v>
      </c>
      <c r="C99" s="2" t="str">
        <f aca="false">IFERROR(LOOKUP(2,1/(Interaction_Log!$B$2:$B$3000=$A99),Interaction_Log!$E$2:$E$3000),"No contact")</f>
        <v>Details Sent</v>
      </c>
      <c r="D99" s="5" t="str">
        <f aca="false">IFERROR(INDEX(Lists!$B$2:$B$12,MATCH($C99,Lists!$A$2:$A$12,0)),"Unmapped")</f>
        <v>Follow Up</v>
      </c>
      <c r="E99" s="4" t="n">
        <f aca="false">IFERROR(LOOKUP(2,1/((Interaction_Log!$B$2:$B$3000=$A99)*(Interaction_Log!$G$2:$G$3000&lt;&gt;"")),Interaction_Log!$G$2:$G$3000),"")</f>
        <v>46270</v>
      </c>
      <c r="F99" s="5" t="str">
        <f aca="false">IFERROR(INDEX(Lists!$C$2:$C$12,MATCH($C99,Lists!$A$2:$A$12,0)),"")</f>
        <v>High</v>
      </c>
      <c r="G99" s="5" t="str">
        <f aca="false">IFERROR(INDEX(Lists!$D$2:$D$12,MATCH($C99,Lists!$A$2:$A$12,0)),"")</f>
        <v>Call</v>
      </c>
      <c r="H99" s="5" t="str">
        <f aca="false">IF(OR($D99="Converted",$D99="Closed"),"—",IF($E99="","Not Scheduled",IF($E99&lt;CRM_Dashboard!$B$3,"Overdue",IF($E99=CRM_Dashboard!$B$3,"Due Today","Upcoming"))))</f>
        <v>Overdue</v>
      </c>
      <c r="I99" s="5" t="n">
        <f aca="false">COUNTIF(Interaction_Log!$B$2:$B$3000,$A99)</f>
        <v>4</v>
      </c>
      <c r="J99" s="5" t="str">
        <f aca="false">IF(COUNTIFS(Interaction_Log!$B$2:$B$3000,$A99,Interaction_Log!$E$2:$E$3000,"Details Sent")&gt;0,"Yes","No")</f>
        <v>Yes</v>
      </c>
      <c r="K99" s="2" t="str">
        <f aca="false">IF(AND(COUNTIFS(Interaction_Log!$B$2:$B$3000,$A99,Interaction_Log!$E$2:$E$3000,"Paid")&gt;0,$C99&lt;&gt;"Paid"),"Paid then re-opened","")</f>
        <v/>
      </c>
    </row>
    <row r="100" customFormat="false" ht="15" hidden="false" customHeight="false" outlineLevel="0" collapsed="false">
      <c r="A100" s="2" t="s">
        <v>424</v>
      </c>
      <c r="B100" s="2" t="str">
        <f aca="false">IFERROR(INDEX(Lead_Master!$B$2:$B$1000,MATCH($A100,Lead_Master!$A$2:$A$1000,0)),"")</f>
        <v>Aman Sharma</v>
      </c>
      <c r="C100" s="2" t="str">
        <f aca="false">IFERROR(LOOKUP(2,1/(Interaction_Log!$B$2:$B$3000=$A100),Interaction_Log!$E$2:$E$3000),"No contact")</f>
        <v>DNP</v>
      </c>
      <c r="D100" s="5" t="str">
        <f aca="false">IFERROR(INDEX(Lists!$B$2:$B$12,MATCH($C100,Lists!$A$2:$A$12,0)),"Unmapped")</f>
        <v>Pending</v>
      </c>
      <c r="E100" s="4" t="str">
        <f aca="false">IFERROR(LOOKUP(2,1/((Interaction_Log!$B$2:$B$3000=$A100)*(Interaction_Log!$G$2:$G$3000&lt;&gt;"")),Interaction_Log!$G$2:$G$3000),"")</f>
        <v/>
      </c>
      <c r="F100" s="5" t="str">
        <f aca="false">IFERROR(INDEX(Lists!$C$2:$C$12,MATCH($C100,Lists!$A$2:$A$12,0)),"")</f>
        <v>Low</v>
      </c>
      <c r="G100" s="5" t="str">
        <f aca="false">IFERROR(INDEX(Lists!$D$2:$D$12,MATCH($C100,Lists!$A$2:$A$12,0)),"")</f>
        <v>Retry</v>
      </c>
      <c r="H100" s="5" t="str">
        <f aca="false">IF(OR($D100="Converted",$D100="Closed"),"—",IF($E100="","Not Scheduled",IF($E100&lt;CRM_Dashboard!$B$3,"Overdue",IF($E100=CRM_Dashboard!$B$3,"Due Today","Upcoming"))))</f>
        <v>Not Scheduled</v>
      </c>
      <c r="I100" s="5" t="n">
        <f aca="false">COUNTIF(Interaction_Log!$B$2:$B$3000,$A100)</f>
        <v>2</v>
      </c>
      <c r="J100" s="5" t="str">
        <f aca="false">IF(COUNTIFS(Interaction_Log!$B$2:$B$3000,$A100,Interaction_Log!$E$2:$E$3000,"Details Sent")&gt;0,"Yes","No")</f>
        <v>No</v>
      </c>
      <c r="K100" s="2" t="str">
        <f aca="false">IF(AND(COUNTIFS(Interaction_Log!$B$2:$B$3000,$A100,Interaction_Log!$E$2:$E$3000,"Paid")&gt;0,$C100&lt;&gt;"Paid"),"Paid then re-opened","")</f>
        <v/>
      </c>
    </row>
    <row r="101" customFormat="false" ht="15" hidden="false" customHeight="false" outlineLevel="0" collapsed="false">
      <c r="A101" s="2" t="s">
        <v>428</v>
      </c>
      <c r="B101" s="2" t="str">
        <f aca="false">IFERROR(INDEX(Lead_Master!$B$2:$B$1000,MATCH($A101,Lead_Master!$A$2:$A$1000,0)),"")</f>
        <v>Sneha Singh</v>
      </c>
      <c r="C101" s="2" t="str">
        <f aca="false">IFERROR(LOOKUP(2,1/(Interaction_Log!$B$2:$B$3000=$A101),Interaction_Log!$E$2:$E$3000),"No contact")</f>
        <v>Not Reachable</v>
      </c>
      <c r="D101" s="5" t="str">
        <f aca="false">IFERROR(INDEX(Lists!$B$2:$B$12,MATCH($C101,Lists!$A$2:$A$12,0)),"Unmapped")</f>
        <v>Pending</v>
      </c>
      <c r="E101" s="4" t="str">
        <f aca="false">IFERROR(LOOKUP(2,1/((Interaction_Log!$B$2:$B$3000=$A101)*(Interaction_Log!$G$2:$G$3000&lt;&gt;"")),Interaction_Log!$G$2:$G$3000),"")</f>
        <v/>
      </c>
      <c r="F101" s="5" t="str">
        <f aca="false">IFERROR(INDEX(Lists!$C$2:$C$12,MATCH($C101,Lists!$A$2:$A$12,0)),"")</f>
        <v>Low</v>
      </c>
      <c r="G101" s="5" t="str">
        <f aca="false">IFERROR(INDEX(Lists!$D$2:$D$12,MATCH($C101,Lists!$A$2:$A$12,0)),"")</f>
        <v>Retry</v>
      </c>
      <c r="H101" s="5" t="str">
        <f aca="false">IF(OR($D101="Converted",$D101="Closed"),"—",IF($E101="","Not Scheduled",IF($E101&lt;CRM_Dashboard!$B$3,"Overdue",IF($E101=CRM_Dashboard!$B$3,"Due Today","Upcoming"))))</f>
        <v>Not Scheduled</v>
      </c>
      <c r="I101" s="5" t="n">
        <f aca="false">COUNTIF(Interaction_Log!$B$2:$B$3000,$A101)</f>
        <v>2</v>
      </c>
      <c r="J101" s="5" t="str">
        <f aca="false">IF(COUNTIFS(Interaction_Log!$B$2:$B$3000,$A101,Interaction_Log!$E$2:$E$3000,"Details Sent")&gt;0,"Yes","No")</f>
        <v>Yes</v>
      </c>
      <c r="K101" s="2" t="str">
        <f aca="false">IF(AND(COUNTIFS(Interaction_Log!$B$2:$B$3000,$A101,Interaction_Log!$E$2:$E$3000,"Paid")&gt;0,$C101&lt;&gt;"Paid"),"Paid then re-opened","")</f>
        <v/>
      </c>
    </row>
    <row r="102" customFormat="false" ht="15" hidden="false" customHeight="false" outlineLevel="0" collapsed="false">
      <c r="A102" s="2" t="s">
        <v>431</v>
      </c>
      <c r="B102" s="2" t="str">
        <f aca="false">IFERROR(INDEX(Lead_Master!$B$2:$B$1000,MATCH($A102,Lead_Master!$A$2:$A$1000,0)),"")</f>
        <v>Harsh Verma</v>
      </c>
      <c r="C102" s="2" t="str">
        <f aca="false">IFERROR(LOOKUP(2,1/(Interaction_Log!$B$2:$B$3000=$A102),Interaction_Log!$E$2:$E$3000),"No contact")</f>
        <v>Paid</v>
      </c>
      <c r="D102" s="5" t="str">
        <f aca="false">IFERROR(INDEX(Lists!$B$2:$B$12,MATCH($C102,Lists!$A$2:$A$12,0)),"Unmapped")</f>
        <v>Converted</v>
      </c>
      <c r="E102" s="4" t="str">
        <f aca="false">IFERROR(LOOKUP(2,1/((Interaction_Log!$B$2:$B$3000=$A102)*(Interaction_Log!$G$2:$G$3000&lt;&gt;"")),Interaction_Log!$G$2:$G$3000),"")</f>
        <v/>
      </c>
      <c r="F102" s="5" t="str">
        <f aca="false">IFERROR(INDEX(Lists!$C$2:$C$12,MATCH($C102,Lists!$A$2:$A$12,0)),"")</f>
        <v>—</v>
      </c>
      <c r="G102" s="5" t="str">
        <f aca="false">IFERROR(INDEX(Lists!$D$2:$D$12,MATCH($C102,Lists!$A$2:$A$12,0)),"")</f>
        <v>Onboard</v>
      </c>
      <c r="H102" s="5" t="str">
        <f aca="false">IF(OR($D102="Converted",$D102="Closed"),"—",IF($E102="","Not Scheduled",IF($E102&lt;CRM_Dashboard!$B$3,"Overdue",IF($E102=CRM_Dashboard!$B$3,"Due Today","Upcoming"))))</f>
        <v>—</v>
      </c>
      <c r="I102" s="5" t="n">
        <f aca="false">COUNTIF(Interaction_Log!$B$2:$B$3000,$A102)</f>
        <v>4</v>
      </c>
      <c r="J102" s="5" t="str">
        <f aca="false">IF(COUNTIFS(Interaction_Log!$B$2:$B$3000,$A102,Interaction_Log!$E$2:$E$3000,"Details Sent")&gt;0,"Yes","No")</f>
        <v>Yes</v>
      </c>
      <c r="K102" s="2" t="str">
        <f aca="false">IF(AND(COUNTIFS(Interaction_Log!$B$2:$B$3000,$A102,Interaction_Log!$E$2:$E$3000,"Paid")&gt;0,$C102&lt;&gt;"Paid"),"Paid then re-opened","")</f>
        <v/>
      </c>
    </row>
    <row r="103" customFormat="false" ht="15" hidden="false" customHeight="false" outlineLevel="0" collapsed="false">
      <c r="A103" s="2" t="s">
        <v>435</v>
      </c>
      <c r="B103" s="2" t="str">
        <f aca="false">IFERROR(INDEX(Lead_Master!$B$2:$B$1000,MATCH($A103,Lead_Master!$A$2:$A$1000,0)),"")</f>
        <v>Ananya Mehta</v>
      </c>
      <c r="C103" s="2" t="str">
        <f aca="false">IFERROR(LOOKUP(2,1/(Interaction_Log!$B$2:$B$3000=$A103),Interaction_Log!$E$2:$E$3000),"No contact")</f>
        <v>Details Sent</v>
      </c>
      <c r="D103" s="5" t="str">
        <f aca="false">IFERROR(INDEX(Lists!$B$2:$B$12,MATCH($C103,Lists!$A$2:$A$12,0)),"Unmapped")</f>
        <v>Follow Up</v>
      </c>
      <c r="E103" s="4" t="n">
        <f aca="false">IFERROR(LOOKUP(2,1/((Interaction_Log!$B$2:$B$3000=$A103)*(Interaction_Log!$G$2:$G$3000&lt;&gt;"")),Interaction_Log!$G$2:$G$3000),"")</f>
        <v>46222</v>
      </c>
      <c r="F103" s="5" t="str">
        <f aca="false">IFERROR(INDEX(Lists!$C$2:$C$12,MATCH($C103,Lists!$A$2:$A$12,0)),"")</f>
        <v>High</v>
      </c>
      <c r="G103" s="5" t="str">
        <f aca="false">IFERROR(INDEX(Lists!$D$2:$D$12,MATCH($C103,Lists!$A$2:$A$12,0)),"")</f>
        <v>Call</v>
      </c>
      <c r="H103" s="5" t="str">
        <f aca="false">IF(OR($D103="Converted",$D103="Closed"),"—",IF($E103="","Not Scheduled",IF($E103&lt;CRM_Dashboard!$B$3,"Overdue",IF($E103=CRM_Dashboard!$B$3,"Due Today","Upcoming"))))</f>
        <v>Overdue</v>
      </c>
      <c r="I103" s="5" t="n">
        <f aca="false">COUNTIF(Interaction_Log!$B$2:$B$3000,$A103)</f>
        <v>2</v>
      </c>
      <c r="J103" s="5" t="str">
        <f aca="false">IF(COUNTIFS(Interaction_Log!$B$2:$B$3000,$A103,Interaction_Log!$E$2:$E$3000,"Details Sent")&gt;0,"Yes","No")</f>
        <v>Yes</v>
      </c>
      <c r="K103" s="2" t="str">
        <f aca="false">IF(AND(COUNTIFS(Interaction_Log!$B$2:$B$3000,$A103,Interaction_Log!$E$2:$E$3000,"Paid")&gt;0,$C103&lt;&gt;"Paid"),"Paid then re-opened","")</f>
        <v/>
      </c>
    </row>
    <row r="104" customFormat="false" ht="15" hidden="false" customHeight="false" outlineLevel="0" collapsed="false">
      <c r="A104" s="2" t="s">
        <v>439</v>
      </c>
      <c r="B104" s="2" t="str">
        <f aca="false">IFERROR(INDEX(Lead_Master!$B$2:$B$1000,MATCH($A104,Lead_Master!$A$2:$A$1000,0)),"")</f>
        <v>Nidhi Jain</v>
      </c>
      <c r="C104" s="2" t="str">
        <f aca="false">IFERROR(LOOKUP(2,1/(Interaction_Log!$B$2:$B$3000=$A104),Interaction_Log!$E$2:$E$3000),"No contact")</f>
        <v>Call Back Later</v>
      </c>
      <c r="D104" s="5" t="str">
        <f aca="false">IFERROR(INDEX(Lists!$B$2:$B$12,MATCH($C104,Lists!$A$2:$A$12,0)),"Unmapped")</f>
        <v>Pending</v>
      </c>
      <c r="E104" s="4" t="n">
        <f aca="false">IFERROR(LOOKUP(2,1/((Interaction_Log!$B$2:$B$3000=$A104)*(Interaction_Log!$G$2:$G$3000&lt;&gt;"")),Interaction_Log!$G$2:$G$3000),"")</f>
        <v>46221</v>
      </c>
      <c r="F104" s="5" t="str">
        <f aca="false">IFERROR(INDEX(Lists!$C$2:$C$12,MATCH($C104,Lists!$A$2:$A$12,0)),"")</f>
        <v>Medium</v>
      </c>
      <c r="G104" s="5" t="str">
        <f aca="false">IFERROR(INDEX(Lists!$D$2:$D$12,MATCH($C104,Lists!$A$2:$A$12,0)),"")</f>
        <v>Call</v>
      </c>
      <c r="H104" s="5" t="str">
        <f aca="false">IF(OR($D104="Converted",$D104="Closed"),"—",IF($E104="","Not Scheduled",IF($E104&lt;CRM_Dashboard!$B$3,"Overdue",IF($E104=CRM_Dashboard!$B$3,"Due Today","Upcoming"))))</f>
        <v>Overdue</v>
      </c>
      <c r="I104" s="5" t="n">
        <f aca="false">COUNTIF(Interaction_Log!$B$2:$B$3000,$A104)</f>
        <v>2</v>
      </c>
      <c r="J104" s="5" t="str">
        <f aca="false">IF(COUNTIFS(Interaction_Log!$B$2:$B$3000,$A104,Interaction_Log!$E$2:$E$3000,"Details Sent")&gt;0,"Yes","No")</f>
        <v>No</v>
      </c>
      <c r="K104" s="2" t="str">
        <f aca="false">IF(AND(COUNTIFS(Interaction_Log!$B$2:$B$3000,$A104,Interaction_Log!$E$2:$E$3000,"Paid")&gt;0,$C104&lt;&gt;"Paid"),"Paid then re-opened","")</f>
        <v/>
      </c>
    </row>
    <row r="105" customFormat="false" ht="15" hidden="false" customHeight="false" outlineLevel="0" collapsed="false">
      <c r="A105" s="2" t="s">
        <v>443</v>
      </c>
      <c r="B105" s="2" t="str">
        <f aca="false">IFERROR(INDEX(Lead_Master!$B$2:$B$1000,MATCH($A105,Lead_Master!$A$2:$A$1000,0)),"")</f>
        <v>Tanya Sinha</v>
      </c>
      <c r="C105" s="2" t="str">
        <f aca="false">IFERROR(LOOKUP(2,1/(Interaction_Log!$B$2:$B$3000=$A105),Interaction_Log!$E$2:$E$3000),"No contact")</f>
        <v>DNP</v>
      </c>
      <c r="D105" s="5" t="str">
        <f aca="false">IFERROR(INDEX(Lists!$B$2:$B$12,MATCH($C105,Lists!$A$2:$A$12,0)),"Unmapped")</f>
        <v>Pending</v>
      </c>
      <c r="E105" s="4" t="str">
        <f aca="false">IFERROR(LOOKUP(2,1/((Interaction_Log!$B$2:$B$3000=$A105)*(Interaction_Log!$G$2:$G$3000&lt;&gt;"")),Interaction_Log!$G$2:$G$3000),"")</f>
        <v/>
      </c>
      <c r="F105" s="5" t="str">
        <f aca="false">IFERROR(INDEX(Lists!$C$2:$C$12,MATCH($C105,Lists!$A$2:$A$12,0)),"")</f>
        <v>Low</v>
      </c>
      <c r="G105" s="5" t="str">
        <f aca="false">IFERROR(INDEX(Lists!$D$2:$D$12,MATCH($C105,Lists!$A$2:$A$12,0)),"")</f>
        <v>Retry</v>
      </c>
      <c r="H105" s="5" t="str">
        <f aca="false">IF(OR($D105="Converted",$D105="Closed"),"—",IF($E105="","Not Scheduled",IF($E105&lt;CRM_Dashboard!$B$3,"Overdue",IF($E105=CRM_Dashboard!$B$3,"Due Today","Upcoming"))))</f>
        <v>Not Scheduled</v>
      </c>
      <c r="I105" s="5" t="n">
        <f aca="false">COUNTIF(Interaction_Log!$B$2:$B$3000,$A105)</f>
        <v>1</v>
      </c>
      <c r="J105" s="5" t="str">
        <f aca="false">IF(COUNTIFS(Interaction_Log!$B$2:$B$3000,$A105,Interaction_Log!$E$2:$E$3000,"Details Sent")&gt;0,"Yes","No")</f>
        <v>No</v>
      </c>
      <c r="K105" s="2" t="str">
        <f aca="false">IF(AND(COUNTIFS(Interaction_Log!$B$2:$B$3000,$A105,Interaction_Log!$E$2:$E$3000,"Paid")&gt;0,$C105&lt;&gt;"Paid"),"Paid then re-opened","")</f>
        <v/>
      </c>
    </row>
    <row r="106" customFormat="false" ht="15" hidden="false" customHeight="false" outlineLevel="0" collapsed="false">
      <c r="A106" s="2" t="s">
        <v>447</v>
      </c>
      <c r="B106" s="2" t="str">
        <f aca="false">IFERROR(INDEX(Lead_Master!$B$2:$B$1000,MATCH($A106,Lead_Master!$A$2:$A$1000,0)),"")</f>
        <v>Varun Jain</v>
      </c>
      <c r="C106" s="2" t="str">
        <f aca="false">IFERROR(LOOKUP(2,1/(Interaction_Log!$B$2:$B$3000=$A106),Interaction_Log!$E$2:$E$3000),"No contact")</f>
        <v>Details Sent</v>
      </c>
      <c r="D106" s="5" t="str">
        <f aca="false">IFERROR(INDEX(Lists!$B$2:$B$12,MATCH($C106,Lists!$A$2:$A$12,0)),"Unmapped")</f>
        <v>Follow Up</v>
      </c>
      <c r="E106" s="4" t="n">
        <f aca="false">IFERROR(LOOKUP(2,1/((Interaction_Log!$B$2:$B$3000=$A106)*(Interaction_Log!$G$2:$G$3000&lt;&gt;"")),Interaction_Log!$G$2:$G$3000),"")</f>
        <v>46249</v>
      </c>
      <c r="F106" s="5" t="str">
        <f aca="false">IFERROR(INDEX(Lists!$C$2:$C$12,MATCH($C106,Lists!$A$2:$A$12,0)),"")</f>
        <v>High</v>
      </c>
      <c r="G106" s="5" t="str">
        <f aca="false">IFERROR(INDEX(Lists!$D$2:$D$12,MATCH($C106,Lists!$A$2:$A$12,0)),"")</f>
        <v>Call</v>
      </c>
      <c r="H106" s="5" t="str">
        <f aca="false">IF(OR($D106="Converted",$D106="Closed"),"—",IF($E106="","Not Scheduled",IF($E106&lt;CRM_Dashboard!$B$3,"Overdue",IF($E106=CRM_Dashboard!$B$3,"Due Today","Upcoming"))))</f>
        <v>Overdue</v>
      </c>
      <c r="I106" s="5" t="n">
        <f aca="false">COUNTIF(Interaction_Log!$B$2:$B$3000,$A106)</f>
        <v>2</v>
      </c>
      <c r="J106" s="5" t="str">
        <f aca="false">IF(COUNTIFS(Interaction_Log!$B$2:$B$3000,$A106,Interaction_Log!$E$2:$E$3000,"Details Sent")&gt;0,"Yes","No")</f>
        <v>Yes</v>
      </c>
      <c r="K106" s="2" t="str">
        <f aca="false">IF(AND(COUNTIFS(Interaction_Log!$B$2:$B$3000,$A106,Interaction_Log!$E$2:$E$3000,"Paid")&gt;0,$C106&lt;&gt;"Paid"),"Paid then re-opened","")</f>
        <v/>
      </c>
    </row>
    <row r="107" customFormat="false" ht="15" hidden="false" customHeight="false" outlineLevel="0" collapsed="false">
      <c r="A107" s="2" t="s">
        <v>451</v>
      </c>
      <c r="B107" s="2" t="str">
        <f aca="false">IFERROR(INDEX(Lead_Master!$B$2:$B$1000,MATCH($A107,Lead_Master!$A$2:$A$1000,0)),"")</f>
        <v>Aditya Sharma</v>
      </c>
      <c r="C107" s="2" t="str">
        <f aca="false">IFERROR(LOOKUP(2,1/(Interaction_Log!$B$2:$B$3000=$A107),Interaction_Log!$E$2:$E$3000),"No contact")</f>
        <v>Switch Off</v>
      </c>
      <c r="D107" s="5" t="str">
        <f aca="false">IFERROR(INDEX(Lists!$B$2:$B$12,MATCH($C107,Lists!$A$2:$A$12,0)),"Unmapped")</f>
        <v>Pending</v>
      </c>
      <c r="E107" s="4" t="str">
        <f aca="false">IFERROR(LOOKUP(2,1/((Interaction_Log!$B$2:$B$3000=$A107)*(Interaction_Log!$G$2:$G$3000&lt;&gt;"")),Interaction_Log!$G$2:$G$3000),"")</f>
        <v/>
      </c>
      <c r="F107" s="5" t="str">
        <f aca="false">IFERROR(INDEX(Lists!$C$2:$C$12,MATCH($C107,Lists!$A$2:$A$12,0)),"")</f>
        <v>Low</v>
      </c>
      <c r="G107" s="5" t="str">
        <f aca="false">IFERROR(INDEX(Lists!$D$2:$D$12,MATCH($C107,Lists!$A$2:$A$12,0)),"")</f>
        <v>Retry</v>
      </c>
      <c r="H107" s="5" t="str">
        <f aca="false">IF(OR($D107="Converted",$D107="Closed"),"—",IF($E107="","Not Scheduled",IF($E107&lt;CRM_Dashboard!$B$3,"Overdue",IF($E107=CRM_Dashboard!$B$3,"Due Today","Upcoming"))))</f>
        <v>Not Scheduled</v>
      </c>
      <c r="I107" s="5" t="n">
        <f aca="false">COUNTIF(Interaction_Log!$B$2:$B$3000,$A107)</f>
        <v>3</v>
      </c>
      <c r="J107" s="5" t="str">
        <f aca="false">IF(COUNTIFS(Interaction_Log!$B$2:$B$3000,$A107,Interaction_Log!$E$2:$E$3000,"Details Sent")&gt;0,"Yes","No")</f>
        <v>No</v>
      </c>
      <c r="K107" s="2" t="str">
        <f aca="false">IF(AND(COUNTIFS(Interaction_Log!$B$2:$B$3000,$A107,Interaction_Log!$E$2:$E$3000,"Paid")&gt;0,$C107&lt;&gt;"Paid"),"Paid then re-opened","")</f>
        <v/>
      </c>
    </row>
    <row r="108" customFormat="false" ht="15" hidden="false" customHeight="false" outlineLevel="0" collapsed="false">
      <c r="A108" s="2" t="s">
        <v>455</v>
      </c>
      <c r="B108" s="2" t="str">
        <f aca="false">IFERROR(INDEX(Lead_Master!$B$2:$B$1000,MATCH($A108,Lead_Master!$A$2:$A$1000,0)),"")</f>
        <v>Ayush Yadav</v>
      </c>
      <c r="C108" s="2" t="str">
        <f aca="false">IFERROR(LOOKUP(2,1/(Interaction_Log!$B$2:$B$3000=$A108),Interaction_Log!$E$2:$E$3000),"No contact")</f>
        <v>Details Sent</v>
      </c>
      <c r="D108" s="5" t="str">
        <f aca="false">IFERROR(INDEX(Lists!$B$2:$B$12,MATCH($C108,Lists!$A$2:$A$12,0)),"Unmapped")</f>
        <v>Follow Up</v>
      </c>
      <c r="E108" s="4" t="n">
        <f aca="false">IFERROR(LOOKUP(2,1/((Interaction_Log!$B$2:$B$3000=$A108)*(Interaction_Log!$G$2:$G$3000&lt;&gt;"")),Interaction_Log!$G$2:$G$3000),"")</f>
        <v>46270</v>
      </c>
      <c r="F108" s="5" t="str">
        <f aca="false">IFERROR(INDEX(Lists!$C$2:$C$12,MATCH($C108,Lists!$A$2:$A$12,0)),"")</f>
        <v>High</v>
      </c>
      <c r="G108" s="5" t="str">
        <f aca="false">IFERROR(INDEX(Lists!$D$2:$D$12,MATCH($C108,Lists!$A$2:$A$12,0)),"")</f>
        <v>Call</v>
      </c>
      <c r="H108" s="5" t="str">
        <f aca="false">IF(OR($D108="Converted",$D108="Closed"),"—",IF($E108="","Not Scheduled",IF($E108&lt;CRM_Dashboard!$B$3,"Overdue",IF($E108=CRM_Dashboard!$B$3,"Due Today","Upcoming"))))</f>
        <v>Overdue</v>
      </c>
      <c r="I108" s="5" t="n">
        <f aca="false">COUNTIF(Interaction_Log!$B$2:$B$3000,$A108)</f>
        <v>2</v>
      </c>
      <c r="J108" s="5" t="str">
        <f aca="false">IF(COUNTIFS(Interaction_Log!$B$2:$B$3000,$A108,Interaction_Log!$E$2:$E$3000,"Details Sent")&gt;0,"Yes","No")</f>
        <v>Yes</v>
      </c>
      <c r="K108" s="2" t="str">
        <f aca="false">IF(AND(COUNTIFS(Interaction_Log!$B$2:$B$3000,$A108,Interaction_Log!$E$2:$E$3000,"Paid")&gt;0,$C108&lt;&gt;"Paid"),"Paid then re-opened","")</f>
        <v/>
      </c>
    </row>
    <row r="109" customFormat="false" ht="15" hidden="false" customHeight="false" outlineLevel="0" collapsed="false">
      <c r="A109" s="2" t="s">
        <v>459</v>
      </c>
      <c r="B109" s="2" t="str">
        <f aca="false">IFERROR(INDEX(Lead_Master!$B$2:$B$1000,MATCH($A109,Lead_Master!$A$2:$A$1000,0)),"")</f>
        <v>Kartik Pandey</v>
      </c>
      <c r="C109" s="2" t="str">
        <f aca="false">IFERROR(LOOKUP(2,1/(Interaction_Log!$B$2:$B$3000=$A109),Interaction_Log!$E$2:$E$3000),"No contact")</f>
        <v>Paid</v>
      </c>
      <c r="D109" s="5" t="str">
        <f aca="false">IFERROR(INDEX(Lists!$B$2:$B$12,MATCH($C109,Lists!$A$2:$A$12,0)),"Unmapped")</f>
        <v>Converted</v>
      </c>
      <c r="E109" s="4" t="str">
        <f aca="false">IFERROR(LOOKUP(2,1/((Interaction_Log!$B$2:$B$3000=$A109)*(Interaction_Log!$G$2:$G$3000&lt;&gt;"")),Interaction_Log!$G$2:$G$3000),"")</f>
        <v/>
      </c>
      <c r="F109" s="5" t="str">
        <f aca="false">IFERROR(INDEX(Lists!$C$2:$C$12,MATCH($C109,Lists!$A$2:$A$12,0)),"")</f>
        <v>—</v>
      </c>
      <c r="G109" s="5" t="str">
        <f aca="false">IFERROR(INDEX(Lists!$D$2:$D$12,MATCH($C109,Lists!$A$2:$A$12,0)),"")</f>
        <v>Onboard</v>
      </c>
      <c r="H109" s="5" t="str">
        <f aca="false">IF(OR($D109="Converted",$D109="Closed"),"—",IF($E109="","Not Scheduled",IF($E109&lt;CRM_Dashboard!$B$3,"Overdue",IF($E109=CRM_Dashboard!$B$3,"Due Today","Upcoming"))))</f>
        <v>—</v>
      </c>
      <c r="I109" s="5" t="n">
        <f aca="false">COUNTIF(Interaction_Log!$B$2:$B$3000,$A109)</f>
        <v>2</v>
      </c>
      <c r="J109" s="5" t="str">
        <f aca="false">IF(COUNTIFS(Interaction_Log!$B$2:$B$3000,$A109,Interaction_Log!$E$2:$E$3000,"Details Sent")&gt;0,"Yes","No")</f>
        <v>No</v>
      </c>
      <c r="K109" s="2" t="str">
        <f aca="false">IF(AND(COUNTIFS(Interaction_Log!$B$2:$B$3000,$A109,Interaction_Log!$E$2:$E$3000,"Paid")&gt;0,$C109&lt;&gt;"Paid"),"Paid then re-opened","")</f>
        <v/>
      </c>
    </row>
    <row r="110" customFormat="false" ht="15" hidden="false" customHeight="false" outlineLevel="0" collapsed="false">
      <c r="A110" s="2" t="s">
        <v>463</v>
      </c>
      <c r="B110" s="2" t="str">
        <f aca="false">IFERROR(INDEX(Lead_Master!$B$2:$B$1000,MATCH($A110,Lead_Master!$A$2:$A$1000,0)),"")</f>
        <v>Ananya Patel</v>
      </c>
      <c r="C110" s="2" t="str">
        <f aca="false">IFERROR(LOOKUP(2,1/(Interaction_Log!$B$2:$B$3000=$A110),Interaction_Log!$E$2:$E$3000),"No contact")</f>
        <v>Wrong Number</v>
      </c>
      <c r="D110" s="5" t="str">
        <f aca="false">IFERROR(INDEX(Lists!$B$2:$B$12,MATCH($C110,Lists!$A$2:$A$12,0)),"Unmapped")</f>
        <v>Closed</v>
      </c>
      <c r="E110" s="4" t="str">
        <f aca="false">IFERROR(LOOKUP(2,1/((Interaction_Log!$B$2:$B$3000=$A110)*(Interaction_Log!$G$2:$G$3000&lt;&gt;"")),Interaction_Log!$G$2:$G$3000),"")</f>
        <v/>
      </c>
      <c r="F110" s="5" t="str">
        <f aca="false">IFERROR(INDEX(Lists!$C$2:$C$12,MATCH($C110,Lists!$A$2:$A$12,0)),"")</f>
        <v>—</v>
      </c>
      <c r="G110" s="5" t="str">
        <f aca="false">IFERROR(INDEX(Lists!$D$2:$D$12,MATCH($C110,Lists!$A$2:$A$12,0)),"")</f>
        <v>Verify number</v>
      </c>
      <c r="H110" s="5" t="str">
        <f aca="false">IF(OR($D110="Converted",$D110="Closed"),"—",IF($E110="","Not Scheduled",IF($E110&lt;CRM_Dashboard!$B$3,"Overdue",IF($E110=CRM_Dashboard!$B$3,"Due Today","Upcoming"))))</f>
        <v>—</v>
      </c>
      <c r="I110" s="5" t="n">
        <f aca="false">COUNTIF(Interaction_Log!$B$2:$B$3000,$A110)</f>
        <v>4</v>
      </c>
      <c r="J110" s="5" t="str">
        <f aca="false">IF(COUNTIFS(Interaction_Log!$B$2:$B$3000,$A110,Interaction_Log!$E$2:$E$3000,"Details Sent")&gt;0,"Yes","No")</f>
        <v>No</v>
      </c>
      <c r="K110" s="2" t="str">
        <f aca="false">IF(AND(COUNTIFS(Interaction_Log!$B$2:$B$3000,$A110,Interaction_Log!$E$2:$E$3000,"Paid")&gt;0,$C110&lt;&gt;"Paid"),"Paid then re-opened","")</f>
        <v/>
      </c>
    </row>
    <row r="111" customFormat="false" ht="15" hidden="false" customHeight="false" outlineLevel="0" collapsed="false">
      <c r="A111" s="2" t="s">
        <v>467</v>
      </c>
      <c r="B111" s="2" t="str">
        <f aca="false">IFERROR(INDEX(Lead_Master!$B$2:$B$1000,MATCH($A111,Lead_Master!$A$2:$A$1000,0)),"")</f>
        <v>Rahul Yadav</v>
      </c>
      <c r="C111" s="2" t="str">
        <f aca="false">IFERROR(LOOKUP(2,1/(Interaction_Log!$B$2:$B$3000=$A111),Interaction_Log!$E$2:$E$3000),"No contact")</f>
        <v>Call Back Later</v>
      </c>
      <c r="D111" s="5" t="str">
        <f aca="false">IFERROR(INDEX(Lists!$B$2:$B$12,MATCH($C111,Lists!$A$2:$A$12,0)),"Unmapped")</f>
        <v>Pending</v>
      </c>
      <c r="E111" s="4" t="n">
        <f aca="false">IFERROR(LOOKUP(2,1/((Interaction_Log!$B$2:$B$3000=$A111)*(Interaction_Log!$G$2:$G$3000&lt;&gt;"")),Interaction_Log!$G$2:$G$3000),"")</f>
        <v>46223</v>
      </c>
      <c r="F111" s="5" t="str">
        <f aca="false">IFERROR(INDEX(Lists!$C$2:$C$12,MATCH($C111,Lists!$A$2:$A$12,0)),"")</f>
        <v>Medium</v>
      </c>
      <c r="G111" s="5" t="str">
        <f aca="false">IFERROR(INDEX(Lists!$D$2:$D$12,MATCH($C111,Lists!$A$2:$A$12,0)),"")</f>
        <v>Call</v>
      </c>
      <c r="H111" s="5" t="str">
        <f aca="false">IF(OR($D111="Converted",$D111="Closed"),"—",IF($E111="","Not Scheduled",IF($E111&lt;CRM_Dashboard!$B$3,"Overdue",IF($E111=CRM_Dashboard!$B$3,"Due Today","Upcoming"))))</f>
        <v>Overdue</v>
      </c>
      <c r="I111" s="5" t="n">
        <f aca="false">COUNTIF(Interaction_Log!$B$2:$B$3000,$A111)</f>
        <v>3</v>
      </c>
      <c r="J111" s="5" t="str">
        <f aca="false">IF(COUNTIFS(Interaction_Log!$B$2:$B$3000,$A111,Interaction_Log!$E$2:$E$3000,"Details Sent")&gt;0,"Yes","No")</f>
        <v>Yes</v>
      </c>
      <c r="K111" s="2" t="str">
        <f aca="false">IF(AND(COUNTIFS(Interaction_Log!$B$2:$B$3000,$A111,Interaction_Log!$E$2:$E$3000,"Paid")&gt;0,$C111&lt;&gt;"Paid"),"Paid then re-opened","")</f>
        <v/>
      </c>
    </row>
    <row r="112" customFormat="false" ht="15" hidden="false" customHeight="false" outlineLevel="0" collapsed="false">
      <c r="A112" s="2" t="s">
        <v>471</v>
      </c>
      <c r="B112" s="2" t="str">
        <f aca="false">IFERROR(INDEX(Lead_Master!$B$2:$B$1000,MATCH($A112,Lead_Master!$A$2:$A$1000,0)),"")</f>
        <v>Simran Kumar</v>
      </c>
      <c r="C112" s="2" t="str">
        <f aca="false">IFERROR(LOOKUP(2,1/(Interaction_Log!$B$2:$B$3000=$A112),Interaction_Log!$E$2:$E$3000),"No contact")</f>
        <v>Not Interested</v>
      </c>
      <c r="D112" s="5" t="str">
        <f aca="false">IFERROR(INDEX(Lists!$B$2:$B$12,MATCH($C112,Lists!$A$2:$A$12,0)),"Unmapped")</f>
        <v>Closed</v>
      </c>
      <c r="E112" s="4" t="str">
        <f aca="false">IFERROR(LOOKUP(2,1/((Interaction_Log!$B$2:$B$3000=$A112)*(Interaction_Log!$G$2:$G$3000&lt;&gt;"")),Interaction_Log!$G$2:$G$3000),"")</f>
        <v/>
      </c>
      <c r="F112" s="5" t="str">
        <f aca="false">IFERROR(INDEX(Lists!$C$2:$C$12,MATCH($C112,Lists!$A$2:$A$12,0)),"")</f>
        <v>—</v>
      </c>
      <c r="G112" s="5" t="str">
        <f aca="false">IFERROR(INDEX(Lists!$D$2:$D$12,MATCH($C112,Lists!$A$2:$A$12,0)),"")</f>
        <v>No action</v>
      </c>
      <c r="H112" s="5" t="str">
        <f aca="false">IF(OR($D112="Converted",$D112="Closed"),"—",IF($E112="","Not Scheduled",IF($E112&lt;CRM_Dashboard!$B$3,"Overdue",IF($E112=CRM_Dashboard!$B$3,"Due Today","Upcoming"))))</f>
        <v>—</v>
      </c>
      <c r="I112" s="5" t="n">
        <f aca="false">COUNTIF(Interaction_Log!$B$2:$B$3000,$A112)</f>
        <v>2</v>
      </c>
      <c r="J112" s="5" t="str">
        <f aca="false">IF(COUNTIFS(Interaction_Log!$B$2:$B$3000,$A112,Interaction_Log!$E$2:$E$3000,"Details Sent")&gt;0,"Yes","No")</f>
        <v>No</v>
      </c>
      <c r="K112" s="2" t="str">
        <f aca="false">IF(AND(COUNTIFS(Interaction_Log!$B$2:$B$3000,$A112,Interaction_Log!$E$2:$E$3000,"Paid")&gt;0,$C112&lt;&gt;"Paid"),"Paid then re-opened","")</f>
        <v/>
      </c>
    </row>
    <row r="113" customFormat="false" ht="15" hidden="false" customHeight="false" outlineLevel="0" collapsed="false">
      <c r="A113" s="2" t="s">
        <v>475</v>
      </c>
      <c r="B113" s="2" t="str">
        <f aca="false">IFERROR(INDEX(Lead_Master!$B$2:$B$1000,MATCH($A113,Lead_Master!$A$2:$A$1000,0)),"")</f>
        <v>Vivek Patel</v>
      </c>
      <c r="C113" s="2" t="str">
        <f aca="false">IFERROR(LOOKUP(2,1/(Interaction_Log!$B$2:$B$3000=$A113),Interaction_Log!$E$2:$E$3000),"No contact")</f>
        <v>DNP</v>
      </c>
      <c r="D113" s="5" t="str">
        <f aca="false">IFERROR(INDEX(Lists!$B$2:$B$12,MATCH($C113,Lists!$A$2:$A$12,0)),"Unmapped")</f>
        <v>Pending</v>
      </c>
      <c r="E113" s="4" t="str">
        <f aca="false">IFERROR(LOOKUP(2,1/((Interaction_Log!$B$2:$B$3000=$A113)*(Interaction_Log!$G$2:$G$3000&lt;&gt;"")),Interaction_Log!$G$2:$G$3000),"")</f>
        <v/>
      </c>
      <c r="F113" s="5" t="str">
        <f aca="false">IFERROR(INDEX(Lists!$C$2:$C$12,MATCH($C113,Lists!$A$2:$A$12,0)),"")</f>
        <v>Low</v>
      </c>
      <c r="G113" s="5" t="str">
        <f aca="false">IFERROR(INDEX(Lists!$D$2:$D$12,MATCH($C113,Lists!$A$2:$A$12,0)),"")</f>
        <v>Retry</v>
      </c>
      <c r="H113" s="5" t="str">
        <f aca="false">IF(OR($D113="Converted",$D113="Closed"),"—",IF($E113="","Not Scheduled",IF($E113&lt;CRM_Dashboard!$B$3,"Overdue",IF($E113=CRM_Dashboard!$B$3,"Due Today","Upcoming"))))</f>
        <v>Not Scheduled</v>
      </c>
      <c r="I113" s="5" t="n">
        <f aca="false">COUNTIF(Interaction_Log!$B$2:$B$3000,$A113)</f>
        <v>2</v>
      </c>
      <c r="J113" s="5" t="str">
        <f aca="false">IF(COUNTIFS(Interaction_Log!$B$2:$B$3000,$A113,Interaction_Log!$E$2:$E$3000,"Details Sent")&gt;0,"Yes","No")</f>
        <v>No</v>
      </c>
      <c r="K113" s="2" t="str">
        <f aca="false">IF(AND(COUNTIFS(Interaction_Log!$B$2:$B$3000,$A113,Interaction_Log!$E$2:$E$3000,"Paid")&gt;0,$C113&lt;&gt;"Paid"),"Paid then re-opened","")</f>
        <v/>
      </c>
    </row>
    <row r="114" customFormat="false" ht="15" hidden="false" customHeight="false" outlineLevel="0" collapsed="false">
      <c r="A114" s="2" t="s">
        <v>479</v>
      </c>
      <c r="B114" s="2" t="str">
        <f aca="false">IFERROR(INDEX(Lead_Master!$B$2:$B$1000,MATCH($A114,Lead_Master!$A$2:$A$1000,0)),"")</f>
        <v>Pooja Patel</v>
      </c>
      <c r="C114" s="2" t="str">
        <f aca="false">IFERROR(LOOKUP(2,1/(Interaction_Log!$B$2:$B$3000=$A114),Interaction_Log!$E$2:$E$3000),"No contact")</f>
        <v>Follow Up</v>
      </c>
      <c r="D114" s="5" t="str">
        <f aca="false">IFERROR(INDEX(Lists!$B$2:$B$12,MATCH($C114,Lists!$A$2:$A$12,0)),"Unmapped")</f>
        <v>Follow Up</v>
      </c>
      <c r="E114" s="4" t="n">
        <f aca="false">IFERROR(LOOKUP(2,1/((Interaction_Log!$B$2:$B$3000=$A114)*(Interaction_Log!$G$2:$G$3000&lt;&gt;"")),Interaction_Log!$G$2:$G$3000),"")</f>
        <v>46298</v>
      </c>
      <c r="F114" s="5" t="str">
        <f aca="false">IFERROR(INDEX(Lists!$C$2:$C$12,MATCH($C114,Lists!$A$2:$A$12,0)),"")</f>
        <v>High</v>
      </c>
      <c r="G114" s="5" t="str">
        <f aca="false">IFERROR(INDEX(Lists!$D$2:$D$12,MATCH($C114,Lists!$A$2:$A$12,0)),"")</f>
        <v>Call</v>
      </c>
      <c r="H114" s="5" t="str">
        <f aca="false">IF(OR($D114="Converted",$D114="Closed"),"—",IF($E114="","Not Scheduled",IF($E114&lt;CRM_Dashboard!$B$3,"Overdue",IF($E114=CRM_Dashboard!$B$3,"Due Today","Upcoming"))))</f>
        <v>Upcoming</v>
      </c>
      <c r="I114" s="5" t="n">
        <f aca="false">COUNTIF(Interaction_Log!$B$2:$B$3000,$A114)</f>
        <v>2</v>
      </c>
      <c r="J114" s="5" t="str">
        <f aca="false">IF(COUNTIFS(Interaction_Log!$B$2:$B$3000,$A114,Interaction_Log!$E$2:$E$3000,"Details Sent")&gt;0,"Yes","No")</f>
        <v>No</v>
      </c>
      <c r="K114" s="2" t="str">
        <f aca="false">IF(AND(COUNTIFS(Interaction_Log!$B$2:$B$3000,$A114,Interaction_Log!$E$2:$E$3000,"Paid")&gt;0,$C114&lt;&gt;"Paid"),"Paid then re-opened","")</f>
        <v/>
      </c>
    </row>
    <row r="115" customFormat="false" ht="15" hidden="false" customHeight="false" outlineLevel="0" collapsed="false">
      <c r="A115" s="2" t="s">
        <v>482</v>
      </c>
      <c r="B115" s="2" t="str">
        <f aca="false">IFERROR(INDEX(Lead_Master!$B$2:$B$1000,MATCH($A115,Lead_Master!$A$2:$A$1000,0)),"")</f>
        <v>Simran Jain</v>
      </c>
      <c r="C115" s="2" t="str">
        <f aca="false">IFERROR(LOOKUP(2,1/(Interaction_Log!$B$2:$B$3000=$A115),Interaction_Log!$E$2:$E$3000),"No contact")</f>
        <v>Details Sent</v>
      </c>
      <c r="D115" s="5" t="str">
        <f aca="false">IFERROR(INDEX(Lists!$B$2:$B$12,MATCH($C115,Lists!$A$2:$A$12,0)),"Unmapped")</f>
        <v>Follow Up</v>
      </c>
      <c r="E115" s="4" t="n">
        <f aca="false">IFERROR(LOOKUP(2,1/((Interaction_Log!$B$2:$B$3000=$A115)*(Interaction_Log!$G$2:$G$3000&lt;&gt;"")),Interaction_Log!$G$2:$G$3000),"")</f>
        <v>46281</v>
      </c>
      <c r="F115" s="5" t="str">
        <f aca="false">IFERROR(INDEX(Lists!$C$2:$C$12,MATCH($C115,Lists!$A$2:$A$12,0)),"")</f>
        <v>High</v>
      </c>
      <c r="G115" s="5" t="str">
        <f aca="false">IFERROR(INDEX(Lists!$D$2:$D$12,MATCH($C115,Lists!$A$2:$A$12,0)),"")</f>
        <v>Call</v>
      </c>
      <c r="H115" s="5" t="str">
        <f aca="false">IF(OR($D115="Converted",$D115="Closed"),"—",IF($E115="","Not Scheduled",IF($E115&lt;CRM_Dashboard!$B$3,"Overdue",IF($E115=CRM_Dashboard!$B$3,"Due Today","Upcoming"))))</f>
        <v>Overdue</v>
      </c>
      <c r="I115" s="5" t="n">
        <f aca="false">COUNTIF(Interaction_Log!$B$2:$B$3000,$A115)</f>
        <v>4</v>
      </c>
      <c r="J115" s="5" t="str">
        <f aca="false">IF(COUNTIFS(Interaction_Log!$B$2:$B$3000,$A115,Interaction_Log!$E$2:$E$3000,"Details Sent")&gt;0,"Yes","No")</f>
        <v>Yes</v>
      </c>
      <c r="K115" s="2" t="str">
        <f aca="false">IF(AND(COUNTIFS(Interaction_Log!$B$2:$B$3000,$A115,Interaction_Log!$E$2:$E$3000,"Paid")&gt;0,$C115&lt;&gt;"Paid"),"Paid then re-opened","")</f>
        <v/>
      </c>
    </row>
    <row r="116" customFormat="false" ht="15" hidden="false" customHeight="false" outlineLevel="0" collapsed="false">
      <c r="A116" s="2" t="s">
        <v>485</v>
      </c>
      <c r="B116" s="2" t="str">
        <f aca="false">IFERROR(INDEX(Lead_Master!$B$2:$B$1000,MATCH($A116,Lead_Master!$A$2:$A$1000,0)),"")</f>
        <v>Varun Patel</v>
      </c>
      <c r="C116" s="2" t="str">
        <f aca="false">IFERROR(LOOKUP(2,1/(Interaction_Log!$B$2:$B$3000=$A116),Interaction_Log!$E$2:$E$3000),"No contact")</f>
        <v>Not Interested</v>
      </c>
      <c r="D116" s="5" t="str">
        <f aca="false">IFERROR(INDEX(Lists!$B$2:$B$12,MATCH($C116,Lists!$A$2:$A$12,0)),"Unmapped")</f>
        <v>Closed</v>
      </c>
      <c r="E116" s="4" t="str">
        <f aca="false">IFERROR(LOOKUP(2,1/((Interaction_Log!$B$2:$B$3000=$A116)*(Interaction_Log!$G$2:$G$3000&lt;&gt;"")),Interaction_Log!$G$2:$G$3000),"")</f>
        <v/>
      </c>
      <c r="F116" s="5" t="str">
        <f aca="false">IFERROR(INDEX(Lists!$C$2:$C$12,MATCH($C116,Lists!$A$2:$A$12,0)),"")</f>
        <v>—</v>
      </c>
      <c r="G116" s="5" t="str">
        <f aca="false">IFERROR(INDEX(Lists!$D$2:$D$12,MATCH($C116,Lists!$A$2:$A$12,0)),"")</f>
        <v>No action</v>
      </c>
      <c r="H116" s="5" t="str">
        <f aca="false">IF(OR($D116="Converted",$D116="Closed"),"—",IF($E116="","Not Scheduled",IF($E116&lt;CRM_Dashboard!$B$3,"Overdue",IF($E116=CRM_Dashboard!$B$3,"Due Today","Upcoming"))))</f>
        <v>—</v>
      </c>
      <c r="I116" s="5" t="n">
        <f aca="false">COUNTIF(Interaction_Log!$B$2:$B$3000,$A116)</f>
        <v>1</v>
      </c>
      <c r="J116" s="5" t="str">
        <f aca="false">IF(COUNTIFS(Interaction_Log!$B$2:$B$3000,$A116,Interaction_Log!$E$2:$E$3000,"Details Sent")&gt;0,"Yes","No")</f>
        <v>No</v>
      </c>
      <c r="K116" s="2" t="str">
        <f aca="false">IF(AND(COUNTIFS(Interaction_Log!$B$2:$B$3000,$A116,Interaction_Log!$E$2:$E$3000,"Paid")&gt;0,$C116&lt;&gt;"Paid"),"Paid then re-opened","")</f>
        <v/>
      </c>
    </row>
    <row r="117" customFormat="false" ht="15" hidden="false" customHeight="false" outlineLevel="0" collapsed="false">
      <c r="A117" s="2" t="s">
        <v>488</v>
      </c>
      <c r="B117" s="2" t="str">
        <f aca="false">IFERROR(INDEX(Lead_Master!$B$2:$B$1000,MATCH($A117,Lead_Master!$A$2:$A$1000,0)),"")</f>
        <v>Mehak Mehta</v>
      </c>
      <c r="C117" s="2" t="str">
        <f aca="false">IFERROR(LOOKUP(2,1/(Interaction_Log!$B$2:$B$3000=$A117),Interaction_Log!$E$2:$E$3000),"No contact")</f>
        <v>Switch Off</v>
      </c>
      <c r="D117" s="5" t="str">
        <f aca="false">IFERROR(INDEX(Lists!$B$2:$B$12,MATCH($C117,Lists!$A$2:$A$12,0)),"Unmapped")</f>
        <v>Pending</v>
      </c>
      <c r="E117" s="4" t="str">
        <f aca="false">IFERROR(LOOKUP(2,1/((Interaction_Log!$B$2:$B$3000=$A117)*(Interaction_Log!$G$2:$G$3000&lt;&gt;"")),Interaction_Log!$G$2:$G$3000),"")</f>
        <v/>
      </c>
      <c r="F117" s="5" t="str">
        <f aca="false">IFERROR(INDEX(Lists!$C$2:$C$12,MATCH($C117,Lists!$A$2:$A$12,0)),"")</f>
        <v>Low</v>
      </c>
      <c r="G117" s="5" t="str">
        <f aca="false">IFERROR(INDEX(Lists!$D$2:$D$12,MATCH($C117,Lists!$A$2:$A$12,0)),"")</f>
        <v>Retry</v>
      </c>
      <c r="H117" s="5" t="str">
        <f aca="false">IF(OR($D117="Converted",$D117="Closed"),"—",IF($E117="","Not Scheduled",IF($E117&lt;CRM_Dashboard!$B$3,"Overdue",IF($E117=CRM_Dashboard!$B$3,"Due Today","Upcoming"))))</f>
        <v>Not Scheduled</v>
      </c>
      <c r="I117" s="5" t="n">
        <f aca="false">COUNTIF(Interaction_Log!$B$2:$B$3000,$A117)</f>
        <v>2</v>
      </c>
      <c r="J117" s="5" t="str">
        <f aca="false">IF(COUNTIFS(Interaction_Log!$B$2:$B$3000,$A117,Interaction_Log!$E$2:$E$3000,"Details Sent")&gt;0,"Yes","No")</f>
        <v>No</v>
      </c>
      <c r="K117" s="2" t="str">
        <f aca="false">IF(AND(COUNTIFS(Interaction_Log!$B$2:$B$3000,$A117,Interaction_Log!$E$2:$E$3000,"Paid")&gt;0,$C117&lt;&gt;"Paid"),"Paid then re-opened","")</f>
        <v/>
      </c>
    </row>
    <row r="118" customFormat="false" ht="15" hidden="false" customHeight="false" outlineLevel="0" collapsed="false">
      <c r="A118" s="2" t="s">
        <v>492</v>
      </c>
      <c r="B118" s="2" t="str">
        <f aca="false">IFERROR(INDEX(Lead_Master!$B$2:$B$1000,MATCH($A118,Lead_Master!$A$2:$A$1000,0)),"")</f>
        <v>Simran Gupta</v>
      </c>
      <c r="C118" s="2" t="str">
        <f aca="false">IFERROR(LOOKUP(2,1/(Interaction_Log!$B$2:$B$3000=$A118),Interaction_Log!$E$2:$E$3000),"No contact")</f>
        <v>Follow Up</v>
      </c>
      <c r="D118" s="5" t="str">
        <f aca="false">IFERROR(INDEX(Lists!$B$2:$B$12,MATCH($C118,Lists!$A$2:$A$12,0)),"Unmapped")</f>
        <v>Follow Up</v>
      </c>
      <c r="E118" s="4" t="n">
        <f aca="false">IFERROR(LOOKUP(2,1/((Interaction_Log!$B$2:$B$3000=$A118)*(Interaction_Log!$G$2:$G$3000&lt;&gt;"")),Interaction_Log!$G$2:$G$3000),"")</f>
        <v>46210</v>
      </c>
      <c r="F118" s="5" t="str">
        <f aca="false">IFERROR(INDEX(Lists!$C$2:$C$12,MATCH($C118,Lists!$A$2:$A$12,0)),"")</f>
        <v>High</v>
      </c>
      <c r="G118" s="5" t="str">
        <f aca="false">IFERROR(INDEX(Lists!$D$2:$D$12,MATCH($C118,Lists!$A$2:$A$12,0)),"")</f>
        <v>Call</v>
      </c>
      <c r="H118" s="5" t="str">
        <f aca="false">IF(OR($D118="Converted",$D118="Closed"),"—",IF($E118="","Not Scheduled",IF($E118&lt;CRM_Dashboard!$B$3,"Overdue",IF($E118=CRM_Dashboard!$B$3,"Due Today","Upcoming"))))</f>
        <v>Overdue</v>
      </c>
      <c r="I118" s="5" t="n">
        <f aca="false">COUNTIF(Interaction_Log!$B$2:$B$3000,$A118)</f>
        <v>3</v>
      </c>
      <c r="J118" s="5" t="str">
        <f aca="false">IF(COUNTIFS(Interaction_Log!$B$2:$B$3000,$A118,Interaction_Log!$E$2:$E$3000,"Details Sent")&gt;0,"Yes","No")</f>
        <v>No</v>
      </c>
      <c r="K118" s="2" t="str">
        <f aca="false">IF(AND(COUNTIFS(Interaction_Log!$B$2:$B$3000,$A118,Interaction_Log!$E$2:$E$3000,"Paid")&gt;0,$C118&lt;&gt;"Paid"),"Paid then re-opened","")</f>
        <v>Paid then re-opened</v>
      </c>
    </row>
    <row r="119" customFormat="false" ht="15" hidden="false" customHeight="false" outlineLevel="0" collapsed="false">
      <c r="A119" s="2" t="s">
        <v>496</v>
      </c>
      <c r="B119" s="2" t="str">
        <f aca="false">IFERROR(INDEX(Lead_Master!$B$2:$B$1000,MATCH($A119,Lead_Master!$A$2:$A$1000,0)),"")</f>
        <v>Kartik Yadav</v>
      </c>
      <c r="C119" s="2" t="str">
        <f aca="false">IFERROR(LOOKUP(2,1/(Interaction_Log!$B$2:$B$3000=$A119),Interaction_Log!$E$2:$E$3000),"No contact")</f>
        <v>DNP</v>
      </c>
      <c r="D119" s="5" t="str">
        <f aca="false">IFERROR(INDEX(Lists!$B$2:$B$12,MATCH($C119,Lists!$A$2:$A$12,0)),"Unmapped")</f>
        <v>Pending</v>
      </c>
      <c r="E119" s="4" t="str">
        <f aca="false">IFERROR(LOOKUP(2,1/((Interaction_Log!$B$2:$B$3000=$A119)*(Interaction_Log!$G$2:$G$3000&lt;&gt;"")),Interaction_Log!$G$2:$G$3000),"")</f>
        <v/>
      </c>
      <c r="F119" s="5" t="str">
        <f aca="false">IFERROR(INDEX(Lists!$C$2:$C$12,MATCH($C119,Lists!$A$2:$A$12,0)),"")</f>
        <v>Low</v>
      </c>
      <c r="G119" s="5" t="str">
        <f aca="false">IFERROR(INDEX(Lists!$D$2:$D$12,MATCH($C119,Lists!$A$2:$A$12,0)),"")</f>
        <v>Retry</v>
      </c>
      <c r="H119" s="5" t="str">
        <f aca="false">IF(OR($D119="Converted",$D119="Closed"),"—",IF($E119="","Not Scheduled",IF($E119&lt;CRM_Dashboard!$B$3,"Overdue",IF($E119=CRM_Dashboard!$B$3,"Due Today","Upcoming"))))</f>
        <v>Not Scheduled</v>
      </c>
      <c r="I119" s="5" t="n">
        <f aca="false">COUNTIF(Interaction_Log!$B$2:$B$3000,$A119)</f>
        <v>1</v>
      </c>
      <c r="J119" s="5" t="str">
        <f aca="false">IF(COUNTIFS(Interaction_Log!$B$2:$B$3000,$A119,Interaction_Log!$E$2:$E$3000,"Details Sent")&gt;0,"Yes","No")</f>
        <v>No</v>
      </c>
      <c r="K119" s="2" t="str">
        <f aca="false">IF(AND(COUNTIFS(Interaction_Log!$B$2:$B$3000,$A119,Interaction_Log!$E$2:$E$3000,"Paid")&gt;0,$C119&lt;&gt;"Paid"),"Paid then re-opened","")</f>
        <v/>
      </c>
    </row>
    <row r="120" customFormat="false" ht="15" hidden="false" customHeight="false" outlineLevel="0" collapsed="false">
      <c r="A120" s="2" t="s">
        <v>500</v>
      </c>
      <c r="B120" s="2" t="str">
        <f aca="false">IFERROR(INDEX(Lead_Master!$B$2:$B$1000,MATCH($A120,Lead_Master!$A$2:$A$1000,0)),"")</f>
        <v>Rohan Verma</v>
      </c>
      <c r="C120" s="2" t="str">
        <f aca="false">IFERROR(LOOKUP(2,1/(Interaction_Log!$B$2:$B$3000=$A120),Interaction_Log!$E$2:$E$3000),"No contact")</f>
        <v>Not Reachable</v>
      </c>
      <c r="D120" s="5" t="str">
        <f aca="false">IFERROR(INDEX(Lists!$B$2:$B$12,MATCH($C120,Lists!$A$2:$A$12,0)),"Unmapped")</f>
        <v>Pending</v>
      </c>
      <c r="E120" s="4" t="str">
        <f aca="false">IFERROR(LOOKUP(2,1/((Interaction_Log!$B$2:$B$3000=$A120)*(Interaction_Log!$G$2:$G$3000&lt;&gt;"")),Interaction_Log!$G$2:$G$3000),"")</f>
        <v/>
      </c>
      <c r="F120" s="5" t="str">
        <f aca="false">IFERROR(INDEX(Lists!$C$2:$C$12,MATCH($C120,Lists!$A$2:$A$12,0)),"")</f>
        <v>Low</v>
      </c>
      <c r="G120" s="5" t="str">
        <f aca="false">IFERROR(INDEX(Lists!$D$2:$D$12,MATCH($C120,Lists!$A$2:$A$12,0)),"")</f>
        <v>Retry</v>
      </c>
      <c r="H120" s="5" t="str">
        <f aca="false">IF(OR($D120="Converted",$D120="Closed"),"—",IF($E120="","Not Scheduled",IF($E120&lt;CRM_Dashboard!$B$3,"Overdue",IF($E120=CRM_Dashboard!$B$3,"Due Today","Upcoming"))))</f>
        <v>Not Scheduled</v>
      </c>
      <c r="I120" s="5" t="n">
        <f aca="false">COUNTIF(Interaction_Log!$B$2:$B$3000,$A120)</f>
        <v>2</v>
      </c>
      <c r="J120" s="5" t="str">
        <f aca="false">IF(COUNTIFS(Interaction_Log!$B$2:$B$3000,$A120,Interaction_Log!$E$2:$E$3000,"Details Sent")&gt;0,"Yes","No")</f>
        <v>Yes</v>
      </c>
      <c r="K120" s="2" t="str">
        <f aca="false">IF(AND(COUNTIFS(Interaction_Log!$B$2:$B$3000,$A120,Interaction_Log!$E$2:$E$3000,"Paid")&gt;0,$C120&lt;&gt;"Paid"),"Paid then re-opened","")</f>
        <v/>
      </c>
    </row>
    <row r="121" customFormat="false" ht="15" hidden="false" customHeight="false" outlineLevel="0" collapsed="false">
      <c r="A121" s="2" t="s">
        <v>504</v>
      </c>
      <c r="B121" s="2" t="str">
        <f aca="false">IFERROR(INDEX(Lead_Master!$B$2:$B$1000,MATCH($A121,Lead_Master!$A$2:$A$1000,0)),"")</f>
        <v>Ishita Singh</v>
      </c>
      <c r="C121" s="2" t="str">
        <f aca="false">IFERROR(LOOKUP(2,1/(Interaction_Log!$B$2:$B$3000=$A121),Interaction_Log!$E$2:$E$3000),"No contact")</f>
        <v>DNP</v>
      </c>
      <c r="D121" s="5" t="str">
        <f aca="false">IFERROR(INDEX(Lists!$B$2:$B$12,MATCH($C121,Lists!$A$2:$A$12,0)),"Unmapped")</f>
        <v>Pending</v>
      </c>
      <c r="E121" s="4" t="str">
        <f aca="false">IFERROR(LOOKUP(2,1/((Interaction_Log!$B$2:$B$3000=$A121)*(Interaction_Log!$G$2:$G$3000&lt;&gt;"")),Interaction_Log!$G$2:$G$3000),"")</f>
        <v/>
      </c>
      <c r="F121" s="5" t="str">
        <f aca="false">IFERROR(INDEX(Lists!$C$2:$C$12,MATCH($C121,Lists!$A$2:$A$12,0)),"")</f>
        <v>Low</v>
      </c>
      <c r="G121" s="5" t="str">
        <f aca="false">IFERROR(INDEX(Lists!$D$2:$D$12,MATCH($C121,Lists!$A$2:$A$12,0)),"")</f>
        <v>Retry</v>
      </c>
      <c r="H121" s="5" t="str">
        <f aca="false">IF(OR($D121="Converted",$D121="Closed"),"—",IF($E121="","Not Scheduled",IF($E121&lt;CRM_Dashboard!$B$3,"Overdue",IF($E121=CRM_Dashboard!$B$3,"Due Today","Upcoming"))))</f>
        <v>Not Scheduled</v>
      </c>
      <c r="I121" s="5" t="n">
        <f aca="false">COUNTIF(Interaction_Log!$B$2:$B$3000,$A121)</f>
        <v>4</v>
      </c>
      <c r="J121" s="5" t="str">
        <f aca="false">IF(COUNTIFS(Interaction_Log!$B$2:$B$3000,$A121,Interaction_Log!$E$2:$E$3000,"Details Sent")&gt;0,"Yes","No")</f>
        <v>No</v>
      </c>
      <c r="K121" s="2" t="str">
        <f aca="false">IF(AND(COUNTIFS(Interaction_Log!$B$2:$B$3000,$A121,Interaction_Log!$E$2:$E$3000,"Paid")&gt;0,$C121&lt;&gt;"Paid"),"Paid then re-opened","")</f>
        <v/>
      </c>
    </row>
    <row r="122" customFormat="false" ht="15" hidden="false" customHeight="false" outlineLevel="0" collapsed="false">
      <c r="A122" s="2" t="s">
        <v>508</v>
      </c>
      <c r="B122" s="2" t="str">
        <f aca="false">IFERROR(INDEX(Lead_Master!$B$2:$B$1000,MATCH($A122,Lead_Master!$A$2:$A$1000,0)),"")</f>
        <v>Shreya Mehta</v>
      </c>
      <c r="C122" s="2" t="str">
        <f aca="false">IFERROR(LOOKUP(2,1/(Interaction_Log!$B$2:$B$3000=$A122),Interaction_Log!$E$2:$E$3000),"No contact")</f>
        <v>DNP</v>
      </c>
      <c r="D122" s="5" t="str">
        <f aca="false">IFERROR(INDEX(Lists!$B$2:$B$12,MATCH($C122,Lists!$A$2:$A$12,0)),"Unmapped")</f>
        <v>Pending</v>
      </c>
      <c r="E122" s="4" t="str">
        <f aca="false">IFERROR(LOOKUP(2,1/((Interaction_Log!$B$2:$B$3000=$A122)*(Interaction_Log!$G$2:$G$3000&lt;&gt;"")),Interaction_Log!$G$2:$G$3000),"")</f>
        <v/>
      </c>
      <c r="F122" s="5" t="str">
        <f aca="false">IFERROR(INDEX(Lists!$C$2:$C$12,MATCH($C122,Lists!$A$2:$A$12,0)),"")</f>
        <v>Low</v>
      </c>
      <c r="G122" s="5" t="str">
        <f aca="false">IFERROR(INDEX(Lists!$D$2:$D$12,MATCH($C122,Lists!$A$2:$A$12,0)),"")</f>
        <v>Retry</v>
      </c>
      <c r="H122" s="5" t="str">
        <f aca="false">IF(OR($D122="Converted",$D122="Closed"),"—",IF($E122="","Not Scheduled",IF($E122&lt;CRM_Dashboard!$B$3,"Overdue",IF($E122=CRM_Dashboard!$B$3,"Due Today","Upcoming"))))</f>
        <v>Not Scheduled</v>
      </c>
      <c r="I122" s="5" t="n">
        <f aca="false">COUNTIF(Interaction_Log!$B$2:$B$3000,$A122)</f>
        <v>3</v>
      </c>
      <c r="J122" s="5" t="str">
        <f aca="false">IF(COUNTIFS(Interaction_Log!$B$2:$B$3000,$A122,Interaction_Log!$E$2:$E$3000,"Details Sent")&gt;0,"Yes","No")</f>
        <v>No</v>
      </c>
      <c r="K122" s="2" t="str">
        <f aca="false">IF(AND(COUNTIFS(Interaction_Log!$B$2:$B$3000,$A122,Interaction_Log!$E$2:$E$3000,"Paid")&gt;0,$C122&lt;&gt;"Paid"),"Paid then re-opened","")</f>
        <v/>
      </c>
    </row>
    <row r="123" customFormat="false" ht="15" hidden="false" customHeight="false" outlineLevel="0" collapsed="false">
      <c r="A123" s="2" t="s">
        <v>512</v>
      </c>
      <c r="B123" s="2" t="str">
        <f aca="false">IFERROR(INDEX(Lead_Master!$B$2:$B$1000,MATCH($A123,Lead_Master!$A$2:$A$1000,0)),"")</f>
        <v>Abhishek Patel</v>
      </c>
      <c r="C123" s="2" t="str">
        <f aca="false">IFERROR(LOOKUP(2,1/(Interaction_Log!$B$2:$B$3000=$A123),Interaction_Log!$E$2:$E$3000),"No contact")</f>
        <v>Not Interested</v>
      </c>
      <c r="D123" s="5" t="str">
        <f aca="false">IFERROR(INDEX(Lists!$B$2:$B$12,MATCH($C123,Lists!$A$2:$A$12,0)),"Unmapped")</f>
        <v>Closed</v>
      </c>
      <c r="E123" s="4" t="str">
        <f aca="false">IFERROR(LOOKUP(2,1/((Interaction_Log!$B$2:$B$3000=$A123)*(Interaction_Log!$G$2:$G$3000&lt;&gt;"")),Interaction_Log!$G$2:$G$3000),"")</f>
        <v/>
      </c>
      <c r="F123" s="5" t="str">
        <f aca="false">IFERROR(INDEX(Lists!$C$2:$C$12,MATCH($C123,Lists!$A$2:$A$12,0)),"")</f>
        <v>—</v>
      </c>
      <c r="G123" s="5" t="str">
        <f aca="false">IFERROR(INDEX(Lists!$D$2:$D$12,MATCH($C123,Lists!$A$2:$A$12,0)),"")</f>
        <v>No action</v>
      </c>
      <c r="H123" s="5" t="str">
        <f aca="false">IF(OR($D123="Converted",$D123="Closed"),"—",IF($E123="","Not Scheduled",IF($E123&lt;CRM_Dashboard!$B$3,"Overdue",IF($E123=CRM_Dashboard!$B$3,"Due Today","Upcoming"))))</f>
        <v>—</v>
      </c>
      <c r="I123" s="5" t="n">
        <f aca="false">COUNTIF(Interaction_Log!$B$2:$B$3000,$A123)</f>
        <v>2</v>
      </c>
      <c r="J123" s="5" t="str">
        <f aca="false">IF(COUNTIFS(Interaction_Log!$B$2:$B$3000,$A123,Interaction_Log!$E$2:$E$3000,"Details Sent")&gt;0,"Yes","No")</f>
        <v>No</v>
      </c>
      <c r="K123" s="2" t="str">
        <f aca="false">IF(AND(COUNTIFS(Interaction_Log!$B$2:$B$3000,$A123,Interaction_Log!$E$2:$E$3000,"Paid")&gt;0,$C123&lt;&gt;"Paid"),"Paid then re-opened","")</f>
        <v/>
      </c>
    </row>
    <row r="124" customFormat="false" ht="15" hidden="false" customHeight="false" outlineLevel="0" collapsed="false">
      <c r="A124" s="2" t="s">
        <v>516</v>
      </c>
      <c r="B124" s="2" t="str">
        <f aca="false">IFERROR(INDEX(Lead_Master!$B$2:$B$1000,MATCH($A124,Lead_Master!$A$2:$A$1000,0)),"")</f>
        <v>Aditya Kumar</v>
      </c>
      <c r="C124" s="2" t="str">
        <f aca="false">IFERROR(LOOKUP(2,1/(Interaction_Log!$B$2:$B$3000=$A124),Interaction_Log!$E$2:$E$3000),"No contact")</f>
        <v>Not Reachable</v>
      </c>
      <c r="D124" s="5" t="str">
        <f aca="false">IFERROR(INDEX(Lists!$B$2:$B$12,MATCH($C124,Lists!$A$2:$A$12,0)),"Unmapped")</f>
        <v>Pending</v>
      </c>
      <c r="E124" s="4" t="str">
        <f aca="false">IFERROR(LOOKUP(2,1/((Interaction_Log!$B$2:$B$3000=$A124)*(Interaction_Log!$G$2:$G$3000&lt;&gt;"")),Interaction_Log!$G$2:$G$3000),"")</f>
        <v/>
      </c>
      <c r="F124" s="5" t="str">
        <f aca="false">IFERROR(INDEX(Lists!$C$2:$C$12,MATCH($C124,Lists!$A$2:$A$12,0)),"")</f>
        <v>Low</v>
      </c>
      <c r="G124" s="5" t="str">
        <f aca="false">IFERROR(INDEX(Lists!$D$2:$D$12,MATCH($C124,Lists!$A$2:$A$12,0)),"")</f>
        <v>Retry</v>
      </c>
      <c r="H124" s="5" t="str">
        <f aca="false">IF(OR($D124="Converted",$D124="Closed"),"—",IF($E124="","Not Scheduled",IF($E124&lt;CRM_Dashboard!$B$3,"Overdue",IF($E124=CRM_Dashboard!$B$3,"Due Today","Upcoming"))))</f>
        <v>Not Scheduled</v>
      </c>
      <c r="I124" s="5" t="n">
        <f aca="false">COUNTIF(Interaction_Log!$B$2:$B$3000,$A124)</f>
        <v>1</v>
      </c>
      <c r="J124" s="5" t="str">
        <f aca="false">IF(COUNTIFS(Interaction_Log!$B$2:$B$3000,$A124,Interaction_Log!$E$2:$E$3000,"Details Sent")&gt;0,"Yes","No")</f>
        <v>No</v>
      </c>
      <c r="K124" s="2" t="str">
        <f aca="false">IF(AND(COUNTIFS(Interaction_Log!$B$2:$B$3000,$A124,Interaction_Log!$E$2:$E$3000,"Paid")&gt;0,$C124&lt;&gt;"Paid"),"Paid then re-opened","")</f>
        <v/>
      </c>
    </row>
    <row r="125" customFormat="false" ht="15" hidden="false" customHeight="false" outlineLevel="0" collapsed="false">
      <c r="A125" s="2" t="s">
        <v>520</v>
      </c>
      <c r="B125" s="2" t="str">
        <f aca="false">IFERROR(INDEX(Lead_Master!$B$2:$B$1000,MATCH($A125,Lead_Master!$A$2:$A$1000,0)),"")</f>
        <v>Neha Sharma</v>
      </c>
      <c r="C125" s="2" t="str">
        <f aca="false">IFERROR(LOOKUP(2,1/(Interaction_Log!$B$2:$B$3000=$A125),Interaction_Log!$E$2:$E$3000),"No contact")</f>
        <v>Paid</v>
      </c>
      <c r="D125" s="5" t="str">
        <f aca="false">IFERROR(INDEX(Lists!$B$2:$B$12,MATCH($C125,Lists!$A$2:$A$12,0)),"Unmapped")</f>
        <v>Converted</v>
      </c>
      <c r="E125" s="4" t="str">
        <f aca="false">IFERROR(LOOKUP(2,1/((Interaction_Log!$B$2:$B$3000=$A125)*(Interaction_Log!$G$2:$G$3000&lt;&gt;"")),Interaction_Log!$G$2:$G$3000),"")</f>
        <v/>
      </c>
      <c r="F125" s="5" t="str">
        <f aca="false">IFERROR(INDEX(Lists!$C$2:$C$12,MATCH($C125,Lists!$A$2:$A$12,0)),"")</f>
        <v>—</v>
      </c>
      <c r="G125" s="5" t="str">
        <f aca="false">IFERROR(INDEX(Lists!$D$2:$D$12,MATCH($C125,Lists!$A$2:$A$12,0)),"")</f>
        <v>Onboard</v>
      </c>
      <c r="H125" s="5" t="str">
        <f aca="false">IF(OR($D125="Converted",$D125="Closed"),"—",IF($E125="","Not Scheduled",IF($E125&lt;CRM_Dashboard!$B$3,"Overdue",IF($E125=CRM_Dashboard!$B$3,"Due Today","Upcoming"))))</f>
        <v>—</v>
      </c>
      <c r="I125" s="5" t="n">
        <f aca="false">COUNTIF(Interaction_Log!$B$2:$B$3000,$A125)</f>
        <v>2</v>
      </c>
      <c r="J125" s="5" t="str">
        <f aca="false">IF(COUNTIFS(Interaction_Log!$B$2:$B$3000,$A125,Interaction_Log!$E$2:$E$3000,"Details Sent")&gt;0,"Yes","No")</f>
        <v>No</v>
      </c>
      <c r="K125" s="2" t="str">
        <f aca="false">IF(AND(COUNTIFS(Interaction_Log!$B$2:$B$3000,$A125,Interaction_Log!$E$2:$E$3000,"Paid")&gt;0,$C125&lt;&gt;"Paid"),"Paid then re-opened","")</f>
        <v/>
      </c>
    </row>
    <row r="126" customFormat="false" ht="15" hidden="false" customHeight="false" outlineLevel="0" collapsed="false">
      <c r="A126" s="2" t="s">
        <v>523</v>
      </c>
      <c r="B126" s="2" t="str">
        <f aca="false">IFERROR(INDEX(Lead_Master!$B$2:$B$1000,MATCH($A126,Lead_Master!$A$2:$A$1000,0)),"")</f>
        <v>Muskan Mehta</v>
      </c>
      <c r="C126" s="2" t="str">
        <f aca="false">IFERROR(LOOKUP(2,1/(Interaction_Log!$B$2:$B$3000=$A126),Interaction_Log!$E$2:$E$3000),"No contact")</f>
        <v>Call Back Later</v>
      </c>
      <c r="D126" s="5" t="str">
        <f aca="false">IFERROR(INDEX(Lists!$B$2:$B$12,MATCH($C126,Lists!$A$2:$A$12,0)),"Unmapped")</f>
        <v>Pending</v>
      </c>
      <c r="E126" s="4" t="n">
        <f aca="false">IFERROR(LOOKUP(2,1/((Interaction_Log!$B$2:$B$3000=$A126)*(Interaction_Log!$G$2:$G$3000&lt;&gt;"")),Interaction_Log!$G$2:$G$3000),"")</f>
        <v>46265</v>
      </c>
      <c r="F126" s="5" t="str">
        <f aca="false">IFERROR(INDEX(Lists!$C$2:$C$12,MATCH($C126,Lists!$A$2:$A$12,0)),"")</f>
        <v>Medium</v>
      </c>
      <c r="G126" s="5" t="str">
        <f aca="false">IFERROR(INDEX(Lists!$D$2:$D$12,MATCH($C126,Lists!$A$2:$A$12,0)),"")</f>
        <v>Call</v>
      </c>
      <c r="H126" s="5" t="str">
        <f aca="false">IF(OR($D126="Converted",$D126="Closed"),"—",IF($E126="","Not Scheduled",IF($E126&lt;CRM_Dashboard!$B$3,"Overdue",IF($E126=CRM_Dashboard!$B$3,"Due Today","Upcoming"))))</f>
        <v>Overdue</v>
      </c>
      <c r="I126" s="5" t="n">
        <f aca="false">COUNTIF(Interaction_Log!$B$2:$B$3000,$A126)</f>
        <v>4</v>
      </c>
      <c r="J126" s="5" t="str">
        <f aca="false">IF(COUNTIFS(Interaction_Log!$B$2:$B$3000,$A126,Interaction_Log!$E$2:$E$3000,"Details Sent")&gt;0,"Yes","No")</f>
        <v>No</v>
      </c>
      <c r="K126" s="2" t="str">
        <f aca="false">IF(AND(COUNTIFS(Interaction_Log!$B$2:$B$3000,$A126,Interaction_Log!$E$2:$E$3000,"Paid")&gt;0,$C126&lt;&gt;"Paid"),"Paid then re-opened","")</f>
        <v/>
      </c>
    </row>
    <row r="127" customFormat="false" ht="15" hidden="false" customHeight="false" outlineLevel="0" collapsed="false">
      <c r="A127" s="2" t="s">
        <v>526</v>
      </c>
      <c r="B127" s="2" t="str">
        <f aca="false">IFERROR(INDEX(Lead_Master!$B$2:$B$1000,MATCH($A127,Lead_Master!$A$2:$A$1000,0)),"")</f>
        <v>Abhishek Kumar</v>
      </c>
      <c r="C127" s="2" t="str">
        <f aca="false">IFERROR(LOOKUP(2,1/(Interaction_Log!$B$2:$B$3000=$A127),Interaction_Log!$E$2:$E$3000),"No contact")</f>
        <v>DNP</v>
      </c>
      <c r="D127" s="5" t="str">
        <f aca="false">IFERROR(INDEX(Lists!$B$2:$B$12,MATCH($C127,Lists!$A$2:$A$12,0)),"Unmapped")</f>
        <v>Pending</v>
      </c>
      <c r="E127" s="4" t="str">
        <f aca="false">IFERROR(LOOKUP(2,1/((Interaction_Log!$B$2:$B$3000=$A127)*(Interaction_Log!$G$2:$G$3000&lt;&gt;"")),Interaction_Log!$G$2:$G$3000),"")</f>
        <v/>
      </c>
      <c r="F127" s="5" t="str">
        <f aca="false">IFERROR(INDEX(Lists!$C$2:$C$12,MATCH($C127,Lists!$A$2:$A$12,0)),"")</f>
        <v>Low</v>
      </c>
      <c r="G127" s="5" t="str">
        <f aca="false">IFERROR(INDEX(Lists!$D$2:$D$12,MATCH($C127,Lists!$A$2:$A$12,0)),"")</f>
        <v>Retry</v>
      </c>
      <c r="H127" s="5" t="str">
        <f aca="false">IF(OR($D127="Converted",$D127="Closed"),"—",IF($E127="","Not Scheduled",IF($E127&lt;CRM_Dashboard!$B$3,"Overdue",IF($E127=CRM_Dashboard!$B$3,"Due Today","Upcoming"))))</f>
        <v>Not Scheduled</v>
      </c>
      <c r="I127" s="5" t="n">
        <f aca="false">COUNTIF(Interaction_Log!$B$2:$B$3000,$A127)</f>
        <v>1</v>
      </c>
      <c r="J127" s="5" t="str">
        <f aca="false">IF(COUNTIFS(Interaction_Log!$B$2:$B$3000,$A127,Interaction_Log!$E$2:$E$3000,"Details Sent")&gt;0,"Yes","No")</f>
        <v>No</v>
      </c>
      <c r="K127" s="2" t="str">
        <f aca="false">IF(AND(COUNTIFS(Interaction_Log!$B$2:$B$3000,$A127,Interaction_Log!$E$2:$E$3000,"Paid")&gt;0,$C127&lt;&gt;"Paid"),"Paid then re-opened","")</f>
        <v/>
      </c>
    </row>
    <row r="128" customFormat="false" ht="15" hidden="false" customHeight="false" outlineLevel="0" collapsed="false">
      <c r="A128" s="2" t="s">
        <v>529</v>
      </c>
      <c r="B128" s="2" t="str">
        <f aca="false">IFERROR(INDEX(Lead_Master!$B$2:$B$1000,MATCH($A128,Lead_Master!$A$2:$A$1000,0)),"")</f>
        <v>Simran Mishra</v>
      </c>
      <c r="C128" s="2" t="str">
        <f aca="false">IFERROR(LOOKUP(2,1/(Interaction_Log!$B$2:$B$3000=$A128),Interaction_Log!$E$2:$E$3000),"No contact")</f>
        <v>Follow Up</v>
      </c>
      <c r="D128" s="5" t="str">
        <f aca="false">IFERROR(INDEX(Lists!$B$2:$B$12,MATCH($C128,Lists!$A$2:$A$12,0)),"Unmapped")</f>
        <v>Follow Up</v>
      </c>
      <c r="E128" s="4" t="n">
        <f aca="false">IFERROR(LOOKUP(2,1/((Interaction_Log!$B$2:$B$3000=$A128)*(Interaction_Log!$G$2:$G$3000&lt;&gt;"")),Interaction_Log!$G$2:$G$3000),"")</f>
        <v>46210</v>
      </c>
      <c r="F128" s="5" t="str">
        <f aca="false">IFERROR(INDEX(Lists!$C$2:$C$12,MATCH($C128,Lists!$A$2:$A$12,0)),"")</f>
        <v>High</v>
      </c>
      <c r="G128" s="5" t="str">
        <f aca="false">IFERROR(INDEX(Lists!$D$2:$D$12,MATCH($C128,Lists!$A$2:$A$12,0)),"")</f>
        <v>Call</v>
      </c>
      <c r="H128" s="5" t="str">
        <f aca="false">IF(OR($D128="Converted",$D128="Closed"),"—",IF($E128="","Not Scheduled",IF($E128&lt;CRM_Dashboard!$B$3,"Overdue",IF($E128=CRM_Dashboard!$B$3,"Due Today","Upcoming"))))</f>
        <v>Overdue</v>
      </c>
      <c r="I128" s="5" t="n">
        <f aca="false">COUNTIF(Interaction_Log!$B$2:$B$3000,$A128)</f>
        <v>3</v>
      </c>
      <c r="J128" s="5" t="str">
        <f aca="false">IF(COUNTIFS(Interaction_Log!$B$2:$B$3000,$A128,Interaction_Log!$E$2:$E$3000,"Details Sent")&gt;0,"Yes","No")</f>
        <v>Yes</v>
      </c>
      <c r="K128" s="2" t="str">
        <f aca="false">IF(AND(COUNTIFS(Interaction_Log!$B$2:$B$3000,$A128,Interaction_Log!$E$2:$E$3000,"Paid")&gt;0,$C128&lt;&gt;"Paid"),"Paid then re-opened","")</f>
        <v/>
      </c>
    </row>
    <row r="129" customFormat="false" ht="15" hidden="false" customHeight="false" outlineLevel="0" collapsed="false">
      <c r="A129" s="2" t="s">
        <v>533</v>
      </c>
      <c r="B129" s="2" t="str">
        <f aca="false">IFERROR(INDEX(Lead_Master!$B$2:$B$1000,MATCH($A129,Lead_Master!$A$2:$A$1000,0)),"")</f>
        <v>Aarav Singh</v>
      </c>
      <c r="C129" s="2" t="str">
        <f aca="false">IFERROR(LOOKUP(2,1/(Interaction_Log!$B$2:$B$3000=$A129),Interaction_Log!$E$2:$E$3000),"No contact")</f>
        <v>Call Back Later</v>
      </c>
      <c r="D129" s="5" t="str">
        <f aca="false">IFERROR(INDEX(Lists!$B$2:$B$12,MATCH($C129,Lists!$A$2:$A$12,0)),"Unmapped")</f>
        <v>Pending</v>
      </c>
      <c r="E129" s="4" t="n">
        <f aca="false">IFERROR(LOOKUP(2,1/((Interaction_Log!$B$2:$B$3000=$A129)*(Interaction_Log!$G$2:$G$3000&lt;&gt;"")),Interaction_Log!$G$2:$G$3000),"")</f>
        <v>46291</v>
      </c>
      <c r="F129" s="5" t="str">
        <f aca="false">IFERROR(INDEX(Lists!$C$2:$C$12,MATCH($C129,Lists!$A$2:$A$12,0)),"")</f>
        <v>Medium</v>
      </c>
      <c r="G129" s="5" t="str">
        <f aca="false">IFERROR(INDEX(Lists!$D$2:$D$12,MATCH($C129,Lists!$A$2:$A$12,0)),"")</f>
        <v>Call</v>
      </c>
      <c r="H129" s="5" t="str">
        <f aca="false">IF(OR($D129="Converted",$D129="Closed"),"—",IF($E129="","Not Scheduled",IF($E129&lt;CRM_Dashboard!$B$3,"Overdue",IF($E129=CRM_Dashboard!$B$3,"Due Today","Upcoming"))))</f>
        <v>Overdue</v>
      </c>
      <c r="I129" s="5" t="n">
        <f aca="false">COUNTIF(Interaction_Log!$B$2:$B$3000,$A129)</f>
        <v>4</v>
      </c>
      <c r="J129" s="5" t="str">
        <f aca="false">IF(COUNTIFS(Interaction_Log!$B$2:$B$3000,$A129,Interaction_Log!$E$2:$E$3000,"Details Sent")&gt;0,"Yes","No")</f>
        <v>No</v>
      </c>
      <c r="K129" s="2" t="str">
        <f aca="false">IF(AND(COUNTIFS(Interaction_Log!$B$2:$B$3000,$A129,Interaction_Log!$E$2:$E$3000,"Paid")&gt;0,$C129&lt;&gt;"Paid"),"Paid then re-opened","")</f>
        <v/>
      </c>
    </row>
    <row r="130" customFormat="false" ht="15" hidden="false" customHeight="false" outlineLevel="0" collapsed="false">
      <c r="A130" s="2" t="s">
        <v>537</v>
      </c>
      <c r="B130" s="2" t="str">
        <f aca="false">IFERROR(INDEX(Lead_Master!$B$2:$B$1000,MATCH($A130,Lead_Master!$A$2:$A$1000,0)),"")</f>
        <v>Tanya Verma</v>
      </c>
      <c r="C130" s="2" t="str">
        <f aca="false">IFERROR(LOOKUP(2,1/(Interaction_Log!$B$2:$B$3000=$A130),Interaction_Log!$E$2:$E$3000),"No contact")</f>
        <v>Details Sent</v>
      </c>
      <c r="D130" s="5" t="str">
        <f aca="false">IFERROR(INDEX(Lists!$B$2:$B$12,MATCH($C130,Lists!$A$2:$A$12,0)),"Unmapped")</f>
        <v>Follow Up</v>
      </c>
      <c r="E130" s="4" t="n">
        <f aca="false">IFERROR(LOOKUP(2,1/((Interaction_Log!$B$2:$B$3000=$A130)*(Interaction_Log!$G$2:$G$3000&lt;&gt;"")),Interaction_Log!$G$2:$G$3000),"")</f>
        <v>46281</v>
      </c>
      <c r="F130" s="5" t="str">
        <f aca="false">IFERROR(INDEX(Lists!$C$2:$C$12,MATCH($C130,Lists!$A$2:$A$12,0)),"")</f>
        <v>High</v>
      </c>
      <c r="G130" s="5" t="str">
        <f aca="false">IFERROR(INDEX(Lists!$D$2:$D$12,MATCH($C130,Lists!$A$2:$A$12,0)),"")</f>
        <v>Call</v>
      </c>
      <c r="H130" s="5" t="str">
        <f aca="false">IF(OR($D130="Converted",$D130="Closed"),"—",IF($E130="","Not Scheduled",IF($E130&lt;CRM_Dashboard!$B$3,"Overdue",IF($E130=CRM_Dashboard!$B$3,"Due Today","Upcoming"))))</f>
        <v>Overdue</v>
      </c>
      <c r="I130" s="5" t="n">
        <f aca="false">COUNTIF(Interaction_Log!$B$2:$B$3000,$A130)</f>
        <v>2</v>
      </c>
      <c r="J130" s="5" t="str">
        <f aca="false">IF(COUNTIFS(Interaction_Log!$B$2:$B$3000,$A130,Interaction_Log!$E$2:$E$3000,"Details Sent")&gt;0,"Yes","No")</f>
        <v>Yes</v>
      </c>
      <c r="K130" s="2" t="str">
        <f aca="false">IF(AND(COUNTIFS(Interaction_Log!$B$2:$B$3000,$A130,Interaction_Log!$E$2:$E$3000,"Paid")&gt;0,$C130&lt;&gt;"Paid"),"Paid then re-opened","")</f>
        <v/>
      </c>
    </row>
    <row r="131" customFormat="false" ht="15" hidden="false" customHeight="false" outlineLevel="0" collapsed="false">
      <c r="A131" s="2" t="s">
        <v>541</v>
      </c>
      <c r="B131" s="2" t="str">
        <f aca="false">IFERROR(INDEX(Lead_Master!$B$2:$B$1000,MATCH($A131,Lead_Master!$A$2:$A$1000,0)),"")</f>
        <v>Harsh Pandey</v>
      </c>
      <c r="C131" s="2" t="str">
        <f aca="false">IFERROR(LOOKUP(2,1/(Interaction_Log!$B$2:$B$3000=$A131),Interaction_Log!$E$2:$E$3000),"No contact")</f>
        <v>DNP</v>
      </c>
      <c r="D131" s="5" t="str">
        <f aca="false">IFERROR(INDEX(Lists!$B$2:$B$12,MATCH($C131,Lists!$A$2:$A$12,0)),"Unmapped")</f>
        <v>Pending</v>
      </c>
      <c r="E131" s="4" t="str">
        <f aca="false">IFERROR(LOOKUP(2,1/((Interaction_Log!$B$2:$B$3000=$A131)*(Interaction_Log!$G$2:$G$3000&lt;&gt;"")),Interaction_Log!$G$2:$G$3000),"")</f>
        <v/>
      </c>
      <c r="F131" s="5" t="str">
        <f aca="false">IFERROR(INDEX(Lists!$C$2:$C$12,MATCH($C131,Lists!$A$2:$A$12,0)),"")</f>
        <v>Low</v>
      </c>
      <c r="G131" s="5" t="str">
        <f aca="false">IFERROR(INDEX(Lists!$D$2:$D$12,MATCH($C131,Lists!$A$2:$A$12,0)),"")</f>
        <v>Retry</v>
      </c>
      <c r="H131" s="5" t="str">
        <f aca="false">IF(OR($D131="Converted",$D131="Closed"),"—",IF($E131="","Not Scheduled",IF($E131&lt;CRM_Dashboard!$B$3,"Overdue",IF($E131=CRM_Dashboard!$B$3,"Due Today","Upcoming"))))</f>
        <v>Not Scheduled</v>
      </c>
      <c r="I131" s="5" t="n">
        <f aca="false">COUNTIF(Interaction_Log!$B$2:$B$3000,$A131)</f>
        <v>3</v>
      </c>
      <c r="J131" s="5" t="str">
        <f aca="false">IF(COUNTIFS(Interaction_Log!$B$2:$B$3000,$A131,Interaction_Log!$E$2:$E$3000,"Details Sent")&gt;0,"Yes","No")</f>
        <v>No</v>
      </c>
      <c r="K131" s="2" t="str">
        <f aca="false">IF(AND(COUNTIFS(Interaction_Log!$B$2:$B$3000,$A131,Interaction_Log!$E$2:$E$3000,"Paid")&gt;0,$C131&lt;&gt;"Paid"),"Paid then re-opened","")</f>
        <v/>
      </c>
    </row>
    <row r="132" customFormat="false" ht="15" hidden="false" customHeight="false" outlineLevel="0" collapsed="false">
      <c r="A132" s="2" t="s">
        <v>545</v>
      </c>
      <c r="B132" s="2" t="str">
        <f aca="false">IFERROR(INDEX(Lead_Master!$B$2:$B$1000,MATCH($A132,Lead_Master!$A$2:$A$1000,0)),"")</f>
        <v>Sneha Srivastava</v>
      </c>
      <c r="C132" s="2" t="str">
        <f aca="false">IFERROR(LOOKUP(2,1/(Interaction_Log!$B$2:$B$3000=$A132),Interaction_Log!$E$2:$E$3000),"No contact")</f>
        <v>Not Reachable</v>
      </c>
      <c r="D132" s="5" t="str">
        <f aca="false">IFERROR(INDEX(Lists!$B$2:$B$12,MATCH($C132,Lists!$A$2:$A$12,0)),"Unmapped")</f>
        <v>Pending</v>
      </c>
      <c r="E132" s="4" t="str">
        <f aca="false">IFERROR(LOOKUP(2,1/((Interaction_Log!$B$2:$B$3000=$A132)*(Interaction_Log!$G$2:$G$3000&lt;&gt;"")),Interaction_Log!$G$2:$G$3000),"")</f>
        <v/>
      </c>
      <c r="F132" s="5" t="str">
        <f aca="false">IFERROR(INDEX(Lists!$C$2:$C$12,MATCH($C132,Lists!$A$2:$A$12,0)),"")</f>
        <v>Low</v>
      </c>
      <c r="G132" s="5" t="str">
        <f aca="false">IFERROR(INDEX(Lists!$D$2:$D$12,MATCH($C132,Lists!$A$2:$A$12,0)),"")</f>
        <v>Retry</v>
      </c>
      <c r="H132" s="5" t="str">
        <f aca="false">IF(OR($D132="Converted",$D132="Closed"),"—",IF($E132="","Not Scheduled",IF($E132&lt;CRM_Dashboard!$B$3,"Overdue",IF($E132=CRM_Dashboard!$B$3,"Due Today","Upcoming"))))</f>
        <v>Not Scheduled</v>
      </c>
      <c r="I132" s="5" t="n">
        <f aca="false">COUNTIF(Interaction_Log!$B$2:$B$3000,$A132)</f>
        <v>1</v>
      </c>
      <c r="J132" s="5" t="str">
        <f aca="false">IF(COUNTIFS(Interaction_Log!$B$2:$B$3000,$A132,Interaction_Log!$E$2:$E$3000,"Details Sent")&gt;0,"Yes","No")</f>
        <v>No</v>
      </c>
      <c r="K132" s="2" t="str">
        <f aca="false">IF(AND(COUNTIFS(Interaction_Log!$B$2:$B$3000,$A132,Interaction_Log!$E$2:$E$3000,"Paid")&gt;0,$C132&lt;&gt;"Paid"),"Paid then re-opened","")</f>
        <v/>
      </c>
    </row>
    <row r="133" customFormat="false" ht="15" hidden="false" customHeight="false" outlineLevel="0" collapsed="false">
      <c r="A133" s="2" t="s">
        <v>549</v>
      </c>
      <c r="B133" s="2" t="str">
        <f aca="false">IFERROR(INDEX(Lead_Master!$B$2:$B$1000,MATCH($A133,Lead_Master!$A$2:$A$1000,0)),"")</f>
        <v>Muskan Kumar</v>
      </c>
      <c r="C133" s="2" t="str">
        <f aca="false">IFERROR(LOOKUP(2,1/(Interaction_Log!$B$2:$B$3000=$A133),Interaction_Log!$E$2:$E$3000),"No contact")</f>
        <v>Details Sent</v>
      </c>
      <c r="D133" s="5" t="str">
        <f aca="false">IFERROR(INDEX(Lists!$B$2:$B$12,MATCH($C133,Lists!$A$2:$A$12,0)),"Unmapped")</f>
        <v>Follow Up</v>
      </c>
      <c r="E133" s="4" t="n">
        <f aca="false">IFERROR(LOOKUP(2,1/((Interaction_Log!$B$2:$B$3000=$A133)*(Interaction_Log!$G$2:$G$3000&lt;&gt;"")),Interaction_Log!$G$2:$G$3000),"")</f>
        <v>46228</v>
      </c>
      <c r="F133" s="5" t="str">
        <f aca="false">IFERROR(INDEX(Lists!$C$2:$C$12,MATCH($C133,Lists!$A$2:$A$12,0)),"")</f>
        <v>High</v>
      </c>
      <c r="G133" s="5" t="str">
        <f aca="false">IFERROR(INDEX(Lists!$D$2:$D$12,MATCH($C133,Lists!$A$2:$A$12,0)),"")</f>
        <v>Call</v>
      </c>
      <c r="H133" s="5" t="str">
        <f aca="false">IF(OR($D133="Converted",$D133="Closed"),"—",IF($E133="","Not Scheduled",IF($E133&lt;CRM_Dashboard!$B$3,"Overdue",IF($E133=CRM_Dashboard!$B$3,"Due Today","Upcoming"))))</f>
        <v>Overdue</v>
      </c>
      <c r="I133" s="5" t="n">
        <f aca="false">COUNTIF(Interaction_Log!$B$2:$B$3000,$A133)</f>
        <v>2</v>
      </c>
      <c r="J133" s="5" t="str">
        <f aca="false">IF(COUNTIFS(Interaction_Log!$B$2:$B$3000,$A133,Interaction_Log!$E$2:$E$3000,"Details Sent")&gt;0,"Yes","No")</f>
        <v>Yes</v>
      </c>
      <c r="K133" s="2" t="str">
        <f aca="false">IF(AND(COUNTIFS(Interaction_Log!$B$2:$B$3000,$A133,Interaction_Log!$E$2:$E$3000,"Paid")&gt;0,$C133&lt;&gt;"Paid"),"Paid then re-opened","")</f>
        <v/>
      </c>
    </row>
    <row r="134" customFormat="false" ht="15" hidden="false" customHeight="false" outlineLevel="0" collapsed="false">
      <c r="A134" s="2" t="s">
        <v>553</v>
      </c>
      <c r="B134" s="2" t="str">
        <f aca="false">IFERROR(INDEX(Lead_Master!$B$2:$B$1000,MATCH($A134,Lead_Master!$A$2:$A$1000,0)),"")</f>
        <v>Kartik Sinha</v>
      </c>
      <c r="C134" s="2" t="str">
        <f aca="false">IFERROR(LOOKUP(2,1/(Interaction_Log!$B$2:$B$3000=$A134),Interaction_Log!$E$2:$E$3000),"No contact")</f>
        <v>DNP</v>
      </c>
      <c r="D134" s="5" t="str">
        <f aca="false">IFERROR(INDEX(Lists!$B$2:$B$12,MATCH($C134,Lists!$A$2:$A$12,0)),"Unmapped")</f>
        <v>Pending</v>
      </c>
      <c r="E134" s="4" t="str">
        <f aca="false">IFERROR(LOOKUP(2,1/((Interaction_Log!$B$2:$B$3000=$A134)*(Interaction_Log!$G$2:$G$3000&lt;&gt;"")),Interaction_Log!$G$2:$G$3000),"")</f>
        <v/>
      </c>
      <c r="F134" s="5" t="str">
        <f aca="false">IFERROR(INDEX(Lists!$C$2:$C$12,MATCH($C134,Lists!$A$2:$A$12,0)),"")</f>
        <v>Low</v>
      </c>
      <c r="G134" s="5" t="str">
        <f aca="false">IFERROR(INDEX(Lists!$D$2:$D$12,MATCH($C134,Lists!$A$2:$A$12,0)),"")</f>
        <v>Retry</v>
      </c>
      <c r="H134" s="5" t="str">
        <f aca="false">IF(OR($D134="Converted",$D134="Closed"),"—",IF($E134="","Not Scheduled",IF($E134&lt;CRM_Dashboard!$B$3,"Overdue",IF($E134=CRM_Dashboard!$B$3,"Due Today","Upcoming"))))</f>
        <v>Not Scheduled</v>
      </c>
      <c r="I134" s="5" t="n">
        <f aca="false">COUNTIF(Interaction_Log!$B$2:$B$3000,$A134)</f>
        <v>2</v>
      </c>
      <c r="J134" s="5" t="str">
        <f aca="false">IF(COUNTIFS(Interaction_Log!$B$2:$B$3000,$A134,Interaction_Log!$E$2:$E$3000,"Details Sent")&gt;0,"Yes","No")</f>
        <v>No</v>
      </c>
      <c r="K134" s="2" t="str">
        <f aca="false">IF(AND(COUNTIFS(Interaction_Log!$B$2:$B$3000,$A134,Interaction_Log!$E$2:$E$3000,"Paid")&gt;0,$C134&lt;&gt;"Paid"),"Paid then re-opened","")</f>
        <v/>
      </c>
    </row>
    <row r="135" customFormat="false" ht="15" hidden="false" customHeight="false" outlineLevel="0" collapsed="false">
      <c r="A135" s="2" t="s">
        <v>556</v>
      </c>
      <c r="B135" s="2" t="str">
        <f aca="false">IFERROR(INDEX(Lead_Master!$B$2:$B$1000,MATCH($A135,Lead_Master!$A$2:$A$1000,0)),"")</f>
        <v>Rahul Patel</v>
      </c>
      <c r="C135" s="2" t="str">
        <f aca="false">IFERROR(LOOKUP(2,1/(Interaction_Log!$B$2:$B$3000=$A135),Interaction_Log!$E$2:$E$3000),"No contact")</f>
        <v>Details Sent</v>
      </c>
      <c r="D135" s="5" t="str">
        <f aca="false">IFERROR(INDEX(Lists!$B$2:$B$12,MATCH($C135,Lists!$A$2:$A$12,0)),"Unmapped")</f>
        <v>Follow Up</v>
      </c>
      <c r="E135" s="4" t="n">
        <f aca="false">IFERROR(LOOKUP(2,1/((Interaction_Log!$B$2:$B$3000=$A135)*(Interaction_Log!$G$2:$G$3000&lt;&gt;"")),Interaction_Log!$G$2:$G$3000),"")</f>
        <v>46292</v>
      </c>
      <c r="F135" s="5" t="str">
        <f aca="false">IFERROR(INDEX(Lists!$C$2:$C$12,MATCH($C135,Lists!$A$2:$A$12,0)),"")</f>
        <v>High</v>
      </c>
      <c r="G135" s="5" t="str">
        <f aca="false">IFERROR(INDEX(Lists!$D$2:$D$12,MATCH($C135,Lists!$A$2:$A$12,0)),"")</f>
        <v>Call</v>
      </c>
      <c r="H135" s="5" t="str">
        <f aca="false">IF(OR($D135="Converted",$D135="Closed"),"—",IF($E135="","Not Scheduled",IF($E135&lt;CRM_Dashboard!$B$3,"Overdue",IF($E135=CRM_Dashboard!$B$3,"Due Today","Upcoming"))))</f>
        <v>Overdue</v>
      </c>
      <c r="I135" s="5" t="n">
        <f aca="false">COUNTIF(Interaction_Log!$B$2:$B$3000,$A135)</f>
        <v>1</v>
      </c>
      <c r="J135" s="5" t="str">
        <f aca="false">IF(COUNTIFS(Interaction_Log!$B$2:$B$3000,$A135,Interaction_Log!$E$2:$E$3000,"Details Sent")&gt;0,"Yes","No")</f>
        <v>Yes</v>
      </c>
      <c r="K135" s="2" t="str">
        <f aca="false">IF(AND(COUNTIFS(Interaction_Log!$B$2:$B$3000,$A135,Interaction_Log!$E$2:$E$3000,"Paid")&gt;0,$C135&lt;&gt;"Paid"),"Paid then re-opened","")</f>
        <v/>
      </c>
    </row>
    <row r="136" customFormat="false" ht="15" hidden="false" customHeight="false" outlineLevel="0" collapsed="false">
      <c r="A136" s="2" t="s">
        <v>560</v>
      </c>
      <c r="B136" s="2" t="str">
        <f aca="false">IFERROR(INDEX(Lead_Master!$B$2:$B$1000,MATCH($A136,Lead_Master!$A$2:$A$1000,0)),"")</f>
        <v>Nidhi Srivastava</v>
      </c>
      <c r="C136" s="2" t="str">
        <f aca="false">IFERROR(LOOKUP(2,1/(Interaction_Log!$B$2:$B$3000=$A136),Interaction_Log!$E$2:$E$3000),"No contact")</f>
        <v>Details Sent</v>
      </c>
      <c r="D136" s="5" t="str">
        <f aca="false">IFERROR(INDEX(Lists!$B$2:$B$12,MATCH($C136,Lists!$A$2:$A$12,0)),"Unmapped")</f>
        <v>Follow Up</v>
      </c>
      <c r="E136" s="4" t="n">
        <f aca="false">IFERROR(LOOKUP(2,1/((Interaction_Log!$B$2:$B$3000=$A136)*(Interaction_Log!$G$2:$G$3000&lt;&gt;"")),Interaction_Log!$G$2:$G$3000),"")</f>
        <v>46214</v>
      </c>
      <c r="F136" s="5" t="str">
        <f aca="false">IFERROR(INDEX(Lists!$C$2:$C$12,MATCH($C136,Lists!$A$2:$A$12,0)),"")</f>
        <v>High</v>
      </c>
      <c r="G136" s="5" t="str">
        <f aca="false">IFERROR(INDEX(Lists!$D$2:$D$12,MATCH($C136,Lists!$A$2:$A$12,0)),"")</f>
        <v>Call</v>
      </c>
      <c r="H136" s="5" t="str">
        <f aca="false">IF(OR($D136="Converted",$D136="Closed"),"—",IF($E136="","Not Scheduled",IF($E136&lt;CRM_Dashboard!$B$3,"Overdue",IF($E136=CRM_Dashboard!$B$3,"Due Today","Upcoming"))))</f>
        <v>Overdue</v>
      </c>
      <c r="I136" s="5" t="n">
        <f aca="false">COUNTIF(Interaction_Log!$B$2:$B$3000,$A136)</f>
        <v>1</v>
      </c>
      <c r="J136" s="5" t="str">
        <f aca="false">IF(COUNTIFS(Interaction_Log!$B$2:$B$3000,$A136,Interaction_Log!$E$2:$E$3000,"Details Sent")&gt;0,"Yes","No")</f>
        <v>Yes</v>
      </c>
      <c r="K136" s="2" t="str">
        <f aca="false">IF(AND(COUNTIFS(Interaction_Log!$B$2:$B$3000,$A136,Interaction_Log!$E$2:$E$3000,"Paid")&gt;0,$C136&lt;&gt;"Paid"),"Paid then re-opened","")</f>
        <v/>
      </c>
    </row>
    <row r="137" customFormat="false" ht="15" hidden="false" customHeight="false" outlineLevel="0" collapsed="false">
      <c r="A137" s="2" t="s">
        <v>564</v>
      </c>
      <c r="B137" s="2" t="str">
        <f aca="false">IFERROR(INDEX(Lead_Master!$B$2:$B$1000,MATCH($A137,Lead_Master!$A$2:$A$1000,0)),"")</f>
        <v>Neha Gupta</v>
      </c>
      <c r="C137" s="2" t="str">
        <f aca="false">IFERROR(LOOKUP(2,1/(Interaction_Log!$B$2:$B$3000=$A137),Interaction_Log!$E$2:$E$3000),"No contact")</f>
        <v>Details Sent</v>
      </c>
      <c r="D137" s="5" t="str">
        <f aca="false">IFERROR(INDEX(Lists!$B$2:$B$12,MATCH($C137,Lists!$A$2:$A$12,0)),"Unmapped")</f>
        <v>Follow Up</v>
      </c>
      <c r="E137" s="4" t="n">
        <f aca="false">IFERROR(LOOKUP(2,1/((Interaction_Log!$B$2:$B$3000=$A137)*(Interaction_Log!$G$2:$G$3000&lt;&gt;"")),Interaction_Log!$G$2:$G$3000),"")</f>
        <v>46288</v>
      </c>
      <c r="F137" s="5" t="str">
        <f aca="false">IFERROR(INDEX(Lists!$C$2:$C$12,MATCH($C137,Lists!$A$2:$A$12,0)),"")</f>
        <v>High</v>
      </c>
      <c r="G137" s="5" t="str">
        <f aca="false">IFERROR(INDEX(Lists!$D$2:$D$12,MATCH($C137,Lists!$A$2:$A$12,0)),"")</f>
        <v>Call</v>
      </c>
      <c r="H137" s="5" t="str">
        <f aca="false">IF(OR($D137="Converted",$D137="Closed"),"—",IF($E137="","Not Scheduled",IF($E137&lt;CRM_Dashboard!$B$3,"Overdue",IF($E137=CRM_Dashboard!$B$3,"Due Today","Upcoming"))))</f>
        <v>Overdue</v>
      </c>
      <c r="I137" s="5" t="n">
        <f aca="false">COUNTIF(Interaction_Log!$B$2:$B$3000,$A137)</f>
        <v>3</v>
      </c>
      <c r="J137" s="5" t="str">
        <f aca="false">IF(COUNTIFS(Interaction_Log!$B$2:$B$3000,$A137,Interaction_Log!$E$2:$E$3000,"Details Sent")&gt;0,"Yes","No")</f>
        <v>Yes</v>
      </c>
      <c r="K137" s="2" t="str">
        <f aca="false">IF(AND(COUNTIFS(Interaction_Log!$B$2:$B$3000,$A137,Interaction_Log!$E$2:$E$3000,"Paid")&gt;0,$C137&lt;&gt;"Paid"),"Paid then re-opened","")</f>
        <v/>
      </c>
    </row>
    <row r="138" customFormat="false" ht="15" hidden="false" customHeight="false" outlineLevel="0" collapsed="false">
      <c r="A138" s="2" t="s">
        <v>568</v>
      </c>
      <c r="B138" s="2" t="str">
        <f aca="false">IFERROR(INDEX(Lead_Master!$B$2:$B$1000,MATCH($A138,Lead_Master!$A$2:$A$1000,0)),"")</f>
        <v>Mehak Srivastava</v>
      </c>
      <c r="C138" s="2" t="str">
        <f aca="false">IFERROR(LOOKUP(2,1/(Interaction_Log!$B$2:$B$3000=$A138),Interaction_Log!$E$2:$E$3000),"No contact")</f>
        <v>Paid</v>
      </c>
      <c r="D138" s="5" t="str">
        <f aca="false">IFERROR(INDEX(Lists!$B$2:$B$12,MATCH($C138,Lists!$A$2:$A$12,0)),"Unmapped")</f>
        <v>Converted</v>
      </c>
      <c r="E138" s="4" t="str">
        <f aca="false">IFERROR(LOOKUP(2,1/((Interaction_Log!$B$2:$B$3000=$A138)*(Interaction_Log!$G$2:$G$3000&lt;&gt;"")),Interaction_Log!$G$2:$G$3000),"")</f>
        <v/>
      </c>
      <c r="F138" s="5" t="str">
        <f aca="false">IFERROR(INDEX(Lists!$C$2:$C$12,MATCH($C138,Lists!$A$2:$A$12,0)),"")</f>
        <v>—</v>
      </c>
      <c r="G138" s="5" t="str">
        <f aca="false">IFERROR(INDEX(Lists!$D$2:$D$12,MATCH($C138,Lists!$A$2:$A$12,0)),"")</f>
        <v>Onboard</v>
      </c>
      <c r="H138" s="5" t="str">
        <f aca="false">IF(OR($D138="Converted",$D138="Closed"),"—",IF($E138="","Not Scheduled",IF($E138&lt;CRM_Dashboard!$B$3,"Overdue",IF($E138=CRM_Dashboard!$B$3,"Due Today","Upcoming"))))</f>
        <v>—</v>
      </c>
      <c r="I138" s="5" t="n">
        <f aca="false">COUNTIF(Interaction_Log!$B$2:$B$3000,$A138)</f>
        <v>1</v>
      </c>
      <c r="J138" s="5" t="str">
        <f aca="false">IF(COUNTIFS(Interaction_Log!$B$2:$B$3000,$A138,Interaction_Log!$E$2:$E$3000,"Details Sent")&gt;0,"Yes","No")</f>
        <v>No</v>
      </c>
      <c r="K138" s="2" t="str">
        <f aca="false">IF(AND(COUNTIFS(Interaction_Log!$B$2:$B$3000,$A138,Interaction_Log!$E$2:$E$3000,"Paid")&gt;0,$C138&lt;&gt;"Paid"),"Paid then re-opened","")</f>
        <v/>
      </c>
    </row>
    <row r="139" customFormat="false" ht="15" hidden="false" customHeight="false" outlineLevel="0" collapsed="false">
      <c r="A139" s="2" t="s">
        <v>571</v>
      </c>
      <c r="B139" s="2" t="str">
        <f aca="false">IFERROR(INDEX(Lead_Master!$B$2:$B$1000,MATCH($A139,Lead_Master!$A$2:$A$1000,0)),"")</f>
        <v>Aman Jain</v>
      </c>
      <c r="C139" s="2" t="str">
        <f aca="false">IFERROR(LOOKUP(2,1/(Interaction_Log!$B$2:$B$3000=$A139),Interaction_Log!$E$2:$E$3000),"No contact")</f>
        <v>Call Back Later</v>
      </c>
      <c r="D139" s="5" t="str">
        <f aca="false">IFERROR(INDEX(Lists!$B$2:$B$12,MATCH($C139,Lists!$A$2:$A$12,0)),"Unmapped")</f>
        <v>Pending</v>
      </c>
      <c r="E139" s="4" t="n">
        <f aca="false">IFERROR(LOOKUP(2,1/((Interaction_Log!$B$2:$B$3000=$A139)*(Interaction_Log!$G$2:$G$3000&lt;&gt;"")),Interaction_Log!$G$2:$G$3000),"")</f>
        <v>46214</v>
      </c>
      <c r="F139" s="5" t="str">
        <f aca="false">IFERROR(INDEX(Lists!$C$2:$C$12,MATCH($C139,Lists!$A$2:$A$12,0)),"")</f>
        <v>Medium</v>
      </c>
      <c r="G139" s="5" t="str">
        <f aca="false">IFERROR(INDEX(Lists!$D$2:$D$12,MATCH($C139,Lists!$A$2:$A$12,0)),"")</f>
        <v>Call</v>
      </c>
      <c r="H139" s="5" t="str">
        <f aca="false">IF(OR($D139="Converted",$D139="Closed"),"—",IF($E139="","Not Scheduled",IF($E139&lt;CRM_Dashboard!$B$3,"Overdue",IF($E139=CRM_Dashboard!$B$3,"Due Today","Upcoming"))))</f>
        <v>Overdue</v>
      </c>
      <c r="I139" s="5" t="n">
        <f aca="false">COUNTIF(Interaction_Log!$B$2:$B$3000,$A139)</f>
        <v>4</v>
      </c>
      <c r="J139" s="5" t="str">
        <f aca="false">IF(COUNTIFS(Interaction_Log!$B$2:$B$3000,$A139,Interaction_Log!$E$2:$E$3000,"Details Sent")&gt;0,"Yes","No")</f>
        <v>Yes</v>
      </c>
      <c r="K139" s="2" t="str">
        <f aca="false">IF(AND(COUNTIFS(Interaction_Log!$B$2:$B$3000,$A139,Interaction_Log!$E$2:$E$3000,"Paid")&gt;0,$C139&lt;&gt;"Paid"),"Paid then re-opened","")</f>
        <v/>
      </c>
    </row>
    <row r="140" customFormat="false" ht="15" hidden="false" customHeight="false" outlineLevel="0" collapsed="false">
      <c r="A140" s="2" t="s">
        <v>574</v>
      </c>
      <c r="B140" s="2" t="str">
        <f aca="false">IFERROR(INDEX(Lead_Master!$B$2:$B$1000,MATCH($A140,Lead_Master!$A$2:$A$1000,0)),"")</f>
        <v>Khushi Mishra</v>
      </c>
      <c r="C140" s="2" t="str">
        <f aca="false">IFERROR(LOOKUP(2,1/(Interaction_Log!$B$2:$B$3000=$A140),Interaction_Log!$E$2:$E$3000),"No contact")</f>
        <v>Not Interested</v>
      </c>
      <c r="D140" s="5" t="str">
        <f aca="false">IFERROR(INDEX(Lists!$B$2:$B$12,MATCH($C140,Lists!$A$2:$A$12,0)),"Unmapped")</f>
        <v>Closed</v>
      </c>
      <c r="E140" s="4" t="str">
        <f aca="false">IFERROR(LOOKUP(2,1/((Interaction_Log!$B$2:$B$3000=$A140)*(Interaction_Log!$G$2:$G$3000&lt;&gt;"")),Interaction_Log!$G$2:$G$3000),"")</f>
        <v/>
      </c>
      <c r="F140" s="5" t="str">
        <f aca="false">IFERROR(INDEX(Lists!$C$2:$C$12,MATCH($C140,Lists!$A$2:$A$12,0)),"")</f>
        <v>—</v>
      </c>
      <c r="G140" s="5" t="str">
        <f aca="false">IFERROR(INDEX(Lists!$D$2:$D$12,MATCH($C140,Lists!$A$2:$A$12,0)),"")</f>
        <v>No action</v>
      </c>
      <c r="H140" s="5" t="str">
        <f aca="false">IF(OR($D140="Converted",$D140="Closed"),"—",IF($E140="","Not Scheduled",IF($E140&lt;CRM_Dashboard!$B$3,"Overdue",IF($E140=CRM_Dashboard!$B$3,"Due Today","Upcoming"))))</f>
        <v>—</v>
      </c>
      <c r="I140" s="5" t="n">
        <f aca="false">COUNTIF(Interaction_Log!$B$2:$B$3000,$A140)</f>
        <v>3</v>
      </c>
      <c r="J140" s="5" t="str">
        <f aca="false">IF(COUNTIFS(Interaction_Log!$B$2:$B$3000,$A140,Interaction_Log!$E$2:$E$3000,"Details Sent")&gt;0,"Yes","No")</f>
        <v>No</v>
      </c>
      <c r="K140" s="2" t="str">
        <f aca="false">IF(AND(COUNTIFS(Interaction_Log!$B$2:$B$3000,$A140,Interaction_Log!$E$2:$E$3000,"Paid")&gt;0,$C140&lt;&gt;"Paid"),"Paid then re-opened","")</f>
        <v/>
      </c>
    </row>
    <row r="141" customFormat="false" ht="15" hidden="false" customHeight="false" outlineLevel="0" collapsed="false">
      <c r="A141" s="2" t="s">
        <v>578</v>
      </c>
      <c r="B141" s="2" t="str">
        <f aca="false">IFERROR(INDEX(Lead_Master!$B$2:$B$1000,MATCH($A141,Lead_Master!$A$2:$A$1000,0)),"")</f>
        <v>Ayush Gupta</v>
      </c>
      <c r="C141" s="2" t="str">
        <f aca="false">IFERROR(LOOKUP(2,1/(Interaction_Log!$B$2:$B$3000=$A141),Interaction_Log!$E$2:$E$3000),"No contact")</f>
        <v>DNP</v>
      </c>
      <c r="D141" s="5" t="str">
        <f aca="false">IFERROR(INDEX(Lists!$B$2:$B$12,MATCH($C141,Lists!$A$2:$A$12,0)),"Unmapped")</f>
        <v>Pending</v>
      </c>
      <c r="E141" s="4" t="str">
        <f aca="false">IFERROR(LOOKUP(2,1/((Interaction_Log!$B$2:$B$3000=$A141)*(Interaction_Log!$G$2:$G$3000&lt;&gt;"")),Interaction_Log!$G$2:$G$3000),"")</f>
        <v/>
      </c>
      <c r="F141" s="5" t="str">
        <f aca="false">IFERROR(INDEX(Lists!$C$2:$C$12,MATCH($C141,Lists!$A$2:$A$12,0)),"")</f>
        <v>Low</v>
      </c>
      <c r="G141" s="5" t="str">
        <f aca="false">IFERROR(INDEX(Lists!$D$2:$D$12,MATCH($C141,Lists!$A$2:$A$12,0)),"")</f>
        <v>Retry</v>
      </c>
      <c r="H141" s="5" t="str">
        <f aca="false">IF(OR($D141="Converted",$D141="Closed"),"—",IF($E141="","Not Scheduled",IF($E141&lt;CRM_Dashboard!$B$3,"Overdue",IF($E141=CRM_Dashboard!$B$3,"Due Today","Upcoming"))))</f>
        <v>Not Scheduled</v>
      </c>
      <c r="I141" s="5" t="n">
        <f aca="false">COUNTIF(Interaction_Log!$B$2:$B$3000,$A141)</f>
        <v>1</v>
      </c>
      <c r="J141" s="5" t="str">
        <f aca="false">IF(COUNTIFS(Interaction_Log!$B$2:$B$3000,$A141,Interaction_Log!$E$2:$E$3000,"Details Sent")&gt;0,"Yes","No")</f>
        <v>No</v>
      </c>
      <c r="K141" s="2" t="str">
        <f aca="false">IF(AND(COUNTIFS(Interaction_Log!$B$2:$B$3000,$A141,Interaction_Log!$E$2:$E$3000,"Paid")&gt;0,$C141&lt;&gt;"Paid"),"Paid then re-opened","")</f>
        <v/>
      </c>
    </row>
    <row r="142" customFormat="false" ht="15" hidden="false" customHeight="false" outlineLevel="0" collapsed="false">
      <c r="A142" s="2" t="s">
        <v>582</v>
      </c>
      <c r="B142" s="2" t="str">
        <f aca="false">IFERROR(INDEX(Lead_Master!$B$2:$B$1000,MATCH($A142,Lead_Master!$A$2:$A$1000,0)),"")</f>
        <v>Karan Rathore</v>
      </c>
      <c r="C142" s="2" t="str">
        <f aca="false">IFERROR(LOOKUP(2,1/(Interaction_Log!$B$2:$B$3000=$A142),Interaction_Log!$E$2:$E$3000),"No contact")</f>
        <v>DNP</v>
      </c>
      <c r="D142" s="5" t="str">
        <f aca="false">IFERROR(INDEX(Lists!$B$2:$B$12,MATCH($C142,Lists!$A$2:$A$12,0)),"Unmapped")</f>
        <v>Pending</v>
      </c>
      <c r="E142" s="4" t="str">
        <f aca="false">IFERROR(LOOKUP(2,1/((Interaction_Log!$B$2:$B$3000=$A142)*(Interaction_Log!$G$2:$G$3000&lt;&gt;"")),Interaction_Log!$G$2:$G$3000),"")</f>
        <v/>
      </c>
      <c r="F142" s="5" t="str">
        <f aca="false">IFERROR(INDEX(Lists!$C$2:$C$12,MATCH($C142,Lists!$A$2:$A$12,0)),"")</f>
        <v>Low</v>
      </c>
      <c r="G142" s="5" t="str">
        <f aca="false">IFERROR(INDEX(Lists!$D$2:$D$12,MATCH($C142,Lists!$A$2:$A$12,0)),"")</f>
        <v>Retry</v>
      </c>
      <c r="H142" s="5" t="str">
        <f aca="false">IF(OR($D142="Converted",$D142="Closed"),"—",IF($E142="","Not Scheduled",IF($E142&lt;CRM_Dashboard!$B$3,"Overdue",IF($E142=CRM_Dashboard!$B$3,"Due Today","Upcoming"))))</f>
        <v>Not Scheduled</v>
      </c>
      <c r="I142" s="5" t="n">
        <f aca="false">COUNTIF(Interaction_Log!$B$2:$B$3000,$A142)</f>
        <v>3</v>
      </c>
      <c r="J142" s="5" t="str">
        <f aca="false">IF(COUNTIFS(Interaction_Log!$B$2:$B$3000,$A142,Interaction_Log!$E$2:$E$3000,"Details Sent")&gt;0,"Yes","No")</f>
        <v>No</v>
      </c>
      <c r="K142" s="2" t="str">
        <f aca="false">IF(AND(COUNTIFS(Interaction_Log!$B$2:$B$3000,$A142,Interaction_Log!$E$2:$E$3000,"Paid")&gt;0,$C142&lt;&gt;"Paid"),"Paid then re-opened","")</f>
        <v>Paid then re-opened</v>
      </c>
    </row>
    <row r="143" customFormat="false" ht="15" hidden="false" customHeight="false" outlineLevel="0" collapsed="false">
      <c r="A143" s="2" t="s">
        <v>585</v>
      </c>
      <c r="B143" s="2" t="str">
        <f aca="false">IFERROR(INDEX(Lead_Master!$B$2:$B$1000,MATCH($A143,Lead_Master!$A$2:$A$1000,0)),"")</f>
        <v>Arjun Pandey</v>
      </c>
      <c r="C143" s="2" t="str">
        <f aca="false">IFERROR(LOOKUP(2,1/(Interaction_Log!$B$2:$B$3000=$A143),Interaction_Log!$E$2:$E$3000),"No contact")</f>
        <v>Paid</v>
      </c>
      <c r="D143" s="5" t="str">
        <f aca="false">IFERROR(INDEX(Lists!$B$2:$B$12,MATCH($C143,Lists!$A$2:$A$12,0)),"Unmapped")</f>
        <v>Converted</v>
      </c>
      <c r="E143" s="4" t="str">
        <f aca="false">IFERROR(LOOKUP(2,1/((Interaction_Log!$B$2:$B$3000=$A143)*(Interaction_Log!$G$2:$G$3000&lt;&gt;"")),Interaction_Log!$G$2:$G$3000),"")</f>
        <v/>
      </c>
      <c r="F143" s="5" t="str">
        <f aca="false">IFERROR(INDEX(Lists!$C$2:$C$12,MATCH($C143,Lists!$A$2:$A$12,0)),"")</f>
        <v>—</v>
      </c>
      <c r="G143" s="5" t="str">
        <f aca="false">IFERROR(INDEX(Lists!$D$2:$D$12,MATCH($C143,Lists!$A$2:$A$12,0)),"")</f>
        <v>Onboard</v>
      </c>
      <c r="H143" s="5" t="str">
        <f aca="false">IF(OR($D143="Converted",$D143="Closed"),"—",IF($E143="","Not Scheduled",IF($E143&lt;CRM_Dashboard!$B$3,"Overdue",IF($E143=CRM_Dashboard!$B$3,"Due Today","Upcoming"))))</f>
        <v>—</v>
      </c>
      <c r="I143" s="5" t="n">
        <f aca="false">COUNTIF(Interaction_Log!$B$2:$B$3000,$A143)</f>
        <v>2</v>
      </c>
      <c r="J143" s="5" t="str">
        <f aca="false">IF(COUNTIFS(Interaction_Log!$B$2:$B$3000,$A143,Interaction_Log!$E$2:$E$3000,"Details Sent")&gt;0,"Yes","No")</f>
        <v>No</v>
      </c>
      <c r="K143" s="2" t="str">
        <f aca="false">IF(AND(COUNTIFS(Interaction_Log!$B$2:$B$3000,$A143,Interaction_Log!$E$2:$E$3000,"Paid")&gt;0,$C143&lt;&gt;"Paid"),"Paid then re-opened","")</f>
        <v/>
      </c>
    </row>
    <row r="144" customFormat="false" ht="15" hidden="false" customHeight="false" outlineLevel="0" collapsed="false">
      <c r="A144" s="2" t="s">
        <v>589</v>
      </c>
      <c r="B144" s="2" t="str">
        <f aca="false">IFERROR(INDEX(Lead_Master!$B$2:$B$1000,MATCH($A144,Lead_Master!$A$2:$A$1000,0)),"")</f>
        <v>Varun Verma</v>
      </c>
      <c r="C144" s="2" t="str">
        <f aca="false">IFERROR(LOOKUP(2,1/(Interaction_Log!$B$2:$B$3000=$A144),Interaction_Log!$E$2:$E$3000),"No contact")</f>
        <v>Not Interested</v>
      </c>
      <c r="D144" s="5" t="str">
        <f aca="false">IFERROR(INDEX(Lists!$B$2:$B$12,MATCH($C144,Lists!$A$2:$A$12,0)),"Unmapped")</f>
        <v>Closed</v>
      </c>
      <c r="E144" s="4" t="str">
        <f aca="false">IFERROR(LOOKUP(2,1/((Interaction_Log!$B$2:$B$3000=$A144)*(Interaction_Log!$G$2:$G$3000&lt;&gt;"")),Interaction_Log!$G$2:$G$3000),"")</f>
        <v/>
      </c>
      <c r="F144" s="5" t="str">
        <f aca="false">IFERROR(INDEX(Lists!$C$2:$C$12,MATCH($C144,Lists!$A$2:$A$12,0)),"")</f>
        <v>—</v>
      </c>
      <c r="G144" s="5" t="str">
        <f aca="false">IFERROR(INDEX(Lists!$D$2:$D$12,MATCH($C144,Lists!$A$2:$A$12,0)),"")</f>
        <v>No action</v>
      </c>
      <c r="H144" s="5" t="str">
        <f aca="false">IF(OR($D144="Converted",$D144="Closed"),"—",IF($E144="","Not Scheduled",IF($E144&lt;CRM_Dashboard!$B$3,"Overdue",IF($E144=CRM_Dashboard!$B$3,"Due Today","Upcoming"))))</f>
        <v>—</v>
      </c>
      <c r="I144" s="5" t="n">
        <f aca="false">COUNTIF(Interaction_Log!$B$2:$B$3000,$A144)</f>
        <v>2</v>
      </c>
      <c r="J144" s="5" t="str">
        <f aca="false">IF(COUNTIFS(Interaction_Log!$B$2:$B$3000,$A144,Interaction_Log!$E$2:$E$3000,"Details Sent")&gt;0,"Yes","No")</f>
        <v>No</v>
      </c>
      <c r="K144" s="2" t="str">
        <f aca="false">IF(AND(COUNTIFS(Interaction_Log!$B$2:$B$3000,$A144,Interaction_Log!$E$2:$E$3000,"Paid")&gt;0,$C144&lt;&gt;"Paid"),"Paid then re-opened","")</f>
        <v/>
      </c>
    </row>
    <row r="145" customFormat="false" ht="15" hidden="false" customHeight="false" outlineLevel="0" collapsed="false">
      <c r="A145" s="2" t="s">
        <v>593</v>
      </c>
      <c r="B145" s="2" t="str">
        <f aca="false">IFERROR(INDEX(Lead_Master!$B$2:$B$1000,MATCH($A145,Lead_Master!$A$2:$A$1000,0)),"")</f>
        <v>Simran Pandey</v>
      </c>
      <c r="C145" s="2" t="str">
        <f aca="false">IFERROR(LOOKUP(2,1/(Interaction_Log!$B$2:$B$3000=$A145),Interaction_Log!$E$2:$E$3000),"No contact")</f>
        <v>Details Sent</v>
      </c>
      <c r="D145" s="5" t="str">
        <f aca="false">IFERROR(INDEX(Lists!$B$2:$B$12,MATCH($C145,Lists!$A$2:$A$12,0)),"Unmapped")</f>
        <v>Follow Up</v>
      </c>
      <c r="E145" s="4" t="n">
        <f aca="false">IFERROR(LOOKUP(2,1/((Interaction_Log!$B$2:$B$3000=$A145)*(Interaction_Log!$G$2:$G$3000&lt;&gt;"")),Interaction_Log!$G$2:$G$3000),"")</f>
        <v>46249</v>
      </c>
      <c r="F145" s="5" t="str">
        <f aca="false">IFERROR(INDEX(Lists!$C$2:$C$12,MATCH($C145,Lists!$A$2:$A$12,0)),"")</f>
        <v>High</v>
      </c>
      <c r="G145" s="5" t="str">
        <f aca="false">IFERROR(INDEX(Lists!$D$2:$D$12,MATCH($C145,Lists!$A$2:$A$12,0)),"")</f>
        <v>Call</v>
      </c>
      <c r="H145" s="5" t="str">
        <f aca="false">IF(OR($D145="Converted",$D145="Closed"),"—",IF($E145="","Not Scheduled",IF($E145&lt;CRM_Dashboard!$B$3,"Overdue",IF($E145=CRM_Dashboard!$B$3,"Due Today","Upcoming"))))</f>
        <v>Overdue</v>
      </c>
      <c r="I145" s="5" t="n">
        <f aca="false">COUNTIF(Interaction_Log!$B$2:$B$3000,$A145)</f>
        <v>1</v>
      </c>
      <c r="J145" s="5" t="str">
        <f aca="false">IF(COUNTIFS(Interaction_Log!$B$2:$B$3000,$A145,Interaction_Log!$E$2:$E$3000,"Details Sent")&gt;0,"Yes","No")</f>
        <v>Yes</v>
      </c>
      <c r="K145" s="2" t="str">
        <f aca="false">IF(AND(COUNTIFS(Interaction_Log!$B$2:$B$3000,$A145,Interaction_Log!$E$2:$E$3000,"Paid")&gt;0,$C145&lt;&gt;"Paid"),"Paid then re-opened","")</f>
        <v/>
      </c>
    </row>
    <row r="146" customFormat="false" ht="15" hidden="false" customHeight="false" outlineLevel="0" collapsed="false">
      <c r="A146" s="2" t="s">
        <v>597</v>
      </c>
      <c r="B146" s="2" t="str">
        <f aca="false">IFERROR(INDEX(Lead_Master!$B$2:$B$1000,MATCH($A146,Lead_Master!$A$2:$A$1000,0)),"")</f>
        <v>Simran Sinha</v>
      </c>
      <c r="C146" s="2" t="str">
        <f aca="false">IFERROR(LOOKUP(2,1/(Interaction_Log!$B$2:$B$3000=$A146),Interaction_Log!$E$2:$E$3000),"No contact")</f>
        <v>Details Sent</v>
      </c>
      <c r="D146" s="5" t="str">
        <f aca="false">IFERROR(INDEX(Lists!$B$2:$B$12,MATCH($C146,Lists!$A$2:$A$12,0)),"Unmapped")</f>
        <v>Follow Up</v>
      </c>
      <c r="E146" s="4" t="n">
        <f aca="false">IFERROR(LOOKUP(2,1/((Interaction_Log!$B$2:$B$3000=$A146)*(Interaction_Log!$G$2:$G$3000&lt;&gt;"")),Interaction_Log!$G$2:$G$3000),"")</f>
        <v>46248</v>
      </c>
      <c r="F146" s="5" t="str">
        <f aca="false">IFERROR(INDEX(Lists!$C$2:$C$12,MATCH($C146,Lists!$A$2:$A$12,0)),"")</f>
        <v>High</v>
      </c>
      <c r="G146" s="5" t="str">
        <f aca="false">IFERROR(INDEX(Lists!$D$2:$D$12,MATCH($C146,Lists!$A$2:$A$12,0)),"")</f>
        <v>Call</v>
      </c>
      <c r="H146" s="5" t="str">
        <f aca="false">IF(OR($D146="Converted",$D146="Closed"),"—",IF($E146="","Not Scheduled",IF($E146&lt;CRM_Dashboard!$B$3,"Overdue",IF($E146=CRM_Dashboard!$B$3,"Due Today","Upcoming"))))</f>
        <v>Overdue</v>
      </c>
      <c r="I146" s="5" t="n">
        <f aca="false">COUNTIF(Interaction_Log!$B$2:$B$3000,$A146)</f>
        <v>3</v>
      </c>
      <c r="J146" s="5" t="str">
        <f aca="false">IF(COUNTIFS(Interaction_Log!$B$2:$B$3000,$A146,Interaction_Log!$E$2:$E$3000,"Details Sent")&gt;0,"Yes","No")</f>
        <v>Yes</v>
      </c>
      <c r="K146" s="2" t="str">
        <f aca="false">IF(AND(COUNTIFS(Interaction_Log!$B$2:$B$3000,$A146,Interaction_Log!$E$2:$E$3000,"Paid")&gt;0,$C146&lt;&gt;"Paid"),"Paid then re-opened","")</f>
        <v/>
      </c>
    </row>
    <row r="147" customFormat="false" ht="15" hidden="false" customHeight="false" outlineLevel="0" collapsed="false">
      <c r="A147" s="2" t="s">
        <v>601</v>
      </c>
      <c r="B147" s="2" t="str">
        <f aca="false">IFERROR(INDEX(Lead_Master!$B$2:$B$1000,MATCH($A147,Lead_Master!$A$2:$A$1000,0)),"")</f>
        <v>Rahul Yadav</v>
      </c>
      <c r="C147" s="2" t="str">
        <f aca="false">IFERROR(LOOKUP(2,1/(Interaction_Log!$B$2:$B$3000=$A147),Interaction_Log!$E$2:$E$3000),"No contact")</f>
        <v>Follow Up</v>
      </c>
      <c r="D147" s="5" t="str">
        <f aca="false">IFERROR(INDEX(Lists!$B$2:$B$12,MATCH($C147,Lists!$A$2:$A$12,0)),"Unmapped")</f>
        <v>Follow Up</v>
      </c>
      <c r="E147" s="4" t="n">
        <f aca="false">IFERROR(LOOKUP(2,1/((Interaction_Log!$B$2:$B$3000=$A147)*(Interaction_Log!$G$2:$G$3000&lt;&gt;"")),Interaction_Log!$G$2:$G$3000),"")</f>
        <v>46279</v>
      </c>
      <c r="F147" s="5" t="str">
        <f aca="false">IFERROR(INDEX(Lists!$C$2:$C$12,MATCH($C147,Lists!$A$2:$A$12,0)),"")</f>
        <v>High</v>
      </c>
      <c r="G147" s="5" t="str">
        <f aca="false">IFERROR(INDEX(Lists!$D$2:$D$12,MATCH($C147,Lists!$A$2:$A$12,0)),"")</f>
        <v>Call</v>
      </c>
      <c r="H147" s="5" t="str">
        <f aca="false">IF(OR($D147="Converted",$D147="Closed"),"—",IF($E147="","Not Scheduled",IF($E147&lt;CRM_Dashboard!$B$3,"Overdue",IF($E147=CRM_Dashboard!$B$3,"Due Today","Upcoming"))))</f>
        <v>Overdue</v>
      </c>
      <c r="I147" s="5" t="n">
        <f aca="false">COUNTIF(Interaction_Log!$B$2:$B$3000,$A147)</f>
        <v>2</v>
      </c>
      <c r="J147" s="5" t="str">
        <f aca="false">IF(COUNTIFS(Interaction_Log!$B$2:$B$3000,$A147,Interaction_Log!$E$2:$E$3000,"Details Sent")&gt;0,"Yes","No")</f>
        <v>No</v>
      </c>
      <c r="K147" s="2" t="str">
        <f aca="false">IF(AND(COUNTIFS(Interaction_Log!$B$2:$B$3000,$A147,Interaction_Log!$E$2:$E$3000,"Paid")&gt;0,$C147&lt;&gt;"Paid"),"Paid then re-opened","")</f>
        <v/>
      </c>
    </row>
    <row r="148" customFormat="false" ht="15" hidden="false" customHeight="false" outlineLevel="0" collapsed="false">
      <c r="A148" s="2" t="s">
        <v>604</v>
      </c>
      <c r="B148" s="2" t="str">
        <f aca="false">IFERROR(INDEX(Lead_Master!$B$2:$B$1000,MATCH($A148,Lead_Master!$A$2:$A$1000,0)),"")</f>
        <v>Ishita Yadav</v>
      </c>
      <c r="C148" s="2" t="str">
        <f aca="false">IFERROR(LOOKUP(2,1/(Interaction_Log!$B$2:$B$3000=$A148),Interaction_Log!$E$2:$E$3000),"No contact")</f>
        <v>Call Cut</v>
      </c>
      <c r="D148" s="5" t="str">
        <f aca="false">IFERROR(INDEX(Lists!$B$2:$B$12,MATCH($C148,Lists!$A$2:$A$12,0)),"Unmapped")</f>
        <v>Pending</v>
      </c>
      <c r="E148" s="4" t="str">
        <f aca="false">IFERROR(LOOKUP(2,1/((Interaction_Log!$B$2:$B$3000=$A148)*(Interaction_Log!$G$2:$G$3000&lt;&gt;"")),Interaction_Log!$G$2:$G$3000),"")</f>
        <v/>
      </c>
      <c r="F148" s="5" t="str">
        <f aca="false">IFERROR(INDEX(Lists!$C$2:$C$12,MATCH($C148,Lists!$A$2:$A$12,0)),"")</f>
        <v>Medium</v>
      </c>
      <c r="G148" s="5" t="str">
        <f aca="false">IFERROR(INDEX(Lists!$D$2:$D$12,MATCH($C148,Lists!$A$2:$A$12,0)),"")</f>
        <v>Retry</v>
      </c>
      <c r="H148" s="5" t="str">
        <f aca="false">IF(OR($D148="Converted",$D148="Closed"),"—",IF($E148="","Not Scheduled",IF($E148&lt;CRM_Dashboard!$B$3,"Overdue",IF($E148=CRM_Dashboard!$B$3,"Due Today","Upcoming"))))</f>
        <v>Not Scheduled</v>
      </c>
      <c r="I148" s="5" t="n">
        <f aca="false">COUNTIF(Interaction_Log!$B$2:$B$3000,$A148)</f>
        <v>4</v>
      </c>
      <c r="J148" s="5" t="str">
        <f aca="false">IF(COUNTIFS(Interaction_Log!$B$2:$B$3000,$A148,Interaction_Log!$E$2:$E$3000,"Details Sent")&gt;0,"Yes","No")</f>
        <v>No</v>
      </c>
      <c r="K148" s="2" t="str">
        <f aca="false">IF(AND(COUNTIFS(Interaction_Log!$B$2:$B$3000,$A148,Interaction_Log!$E$2:$E$3000,"Paid")&gt;0,$C148&lt;&gt;"Paid"),"Paid then re-opened","")</f>
        <v/>
      </c>
    </row>
    <row r="149" customFormat="false" ht="15" hidden="false" customHeight="false" outlineLevel="0" collapsed="false">
      <c r="A149" s="2" t="s">
        <v>608</v>
      </c>
      <c r="B149" s="2" t="str">
        <f aca="false">IFERROR(INDEX(Lead_Master!$B$2:$B$1000,MATCH($A149,Lead_Master!$A$2:$A$1000,0)),"")</f>
        <v>Shreya Sinha</v>
      </c>
      <c r="C149" s="2" t="str">
        <f aca="false">IFERROR(LOOKUP(2,1/(Interaction_Log!$B$2:$B$3000=$A149),Interaction_Log!$E$2:$E$3000),"No contact")</f>
        <v>Follow Up</v>
      </c>
      <c r="D149" s="5" t="str">
        <f aca="false">IFERROR(INDEX(Lists!$B$2:$B$12,MATCH($C149,Lists!$A$2:$A$12,0)),"Unmapped")</f>
        <v>Follow Up</v>
      </c>
      <c r="E149" s="4" t="n">
        <f aca="false">IFERROR(LOOKUP(2,1/((Interaction_Log!$B$2:$B$3000=$A149)*(Interaction_Log!$G$2:$G$3000&lt;&gt;"")),Interaction_Log!$G$2:$G$3000),"")</f>
        <v>46288</v>
      </c>
      <c r="F149" s="5" t="str">
        <f aca="false">IFERROR(INDEX(Lists!$C$2:$C$12,MATCH($C149,Lists!$A$2:$A$12,0)),"")</f>
        <v>High</v>
      </c>
      <c r="G149" s="5" t="str">
        <f aca="false">IFERROR(INDEX(Lists!$D$2:$D$12,MATCH($C149,Lists!$A$2:$A$12,0)),"")</f>
        <v>Call</v>
      </c>
      <c r="H149" s="5" t="str">
        <f aca="false">IF(OR($D149="Converted",$D149="Closed"),"—",IF($E149="","Not Scheduled",IF($E149&lt;CRM_Dashboard!$B$3,"Overdue",IF($E149=CRM_Dashboard!$B$3,"Due Today","Upcoming"))))</f>
        <v>Overdue</v>
      </c>
      <c r="I149" s="5" t="n">
        <f aca="false">COUNTIF(Interaction_Log!$B$2:$B$3000,$A149)</f>
        <v>2</v>
      </c>
      <c r="J149" s="5" t="str">
        <f aca="false">IF(COUNTIFS(Interaction_Log!$B$2:$B$3000,$A149,Interaction_Log!$E$2:$E$3000,"Details Sent")&gt;0,"Yes","No")</f>
        <v>No</v>
      </c>
      <c r="K149" s="2" t="str">
        <f aca="false">IF(AND(COUNTIFS(Interaction_Log!$B$2:$B$3000,$A149,Interaction_Log!$E$2:$E$3000,"Paid")&gt;0,$C149&lt;&gt;"Paid"),"Paid then re-opened","")</f>
        <v/>
      </c>
    </row>
    <row r="150" customFormat="false" ht="15" hidden="false" customHeight="false" outlineLevel="0" collapsed="false">
      <c r="A150" s="2" t="s">
        <v>612</v>
      </c>
      <c r="B150" s="2" t="str">
        <f aca="false">IFERROR(INDEX(Lead_Master!$B$2:$B$1000,MATCH($A150,Lead_Master!$A$2:$A$1000,0)),"")</f>
        <v>Riya Sharma</v>
      </c>
      <c r="C150" s="2" t="str">
        <f aca="false">IFERROR(LOOKUP(2,1/(Interaction_Log!$B$2:$B$3000=$A150),Interaction_Log!$E$2:$E$3000),"No contact")</f>
        <v>DNP</v>
      </c>
      <c r="D150" s="5" t="str">
        <f aca="false">IFERROR(INDEX(Lists!$B$2:$B$12,MATCH($C150,Lists!$A$2:$A$12,0)),"Unmapped")</f>
        <v>Pending</v>
      </c>
      <c r="E150" s="4" t="str">
        <f aca="false">IFERROR(LOOKUP(2,1/((Interaction_Log!$B$2:$B$3000=$A150)*(Interaction_Log!$G$2:$G$3000&lt;&gt;"")),Interaction_Log!$G$2:$G$3000),"")</f>
        <v/>
      </c>
      <c r="F150" s="5" t="str">
        <f aca="false">IFERROR(INDEX(Lists!$C$2:$C$12,MATCH($C150,Lists!$A$2:$A$12,0)),"")</f>
        <v>Low</v>
      </c>
      <c r="G150" s="5" t="str">
        <f aca="false">IFERROR(INDEX(Lists!$D$2:$D$12,MATCH($C150,Lists!$A$2:$A$12,0)),"")</f>
        <v>Retry</v>
      </c>
      <c r="H150" s="5" t="str">
        <f aca="false">IF(OR($D150="Converted",$D150="Closed"),"—",IF($E150="","Not Scheduled",IF($E150&lt;CRM_Dashboard!$B$3,"Overdue",IF($E150=CRM_Dashboard!$B$3,"Due Today","Upcoming"))))</f>
        <v>Not Scheduled</v>
      </c>
      <c r="I150" s="5" t="n">
        <f aca="false">COUNTIF(Interaction_Log!$B$2:$B$3000,$A150)</f>
        <v>3</v>
      </c>
      <c r="J150" s="5" t="str">
        <f aca="false">IF(COUNTIFS(Interaction_Log!$B$2:$B$3000,$A150,Interaction_Log!$E$2:$E$3000,"Details Sent")&gt;0,"Yes","No")</f>
        <v>Yes</v>
      </c>
      <c r="K150" s="2" t="str">
        <f aca="false">IF(AND(COUNTIFS(Interaction_Log!$B$2:$B$3000,$A150,Interaction_Log!$E$2:$E$3000,"Paid")&gt;0,$C150&lt;&gt;"Paid"),"Paid then re-opened","")</f>
        <v/>
      </c>
    </row>
    <row r="151" customFormat="false" ht="15" hidden="false" customHeight="false" outlineLevel="0" collapsed="false">
      <c r="A151" s="2" t="s">
        <v>616</v>
      </c>
      <c r="B151" s="2" t="str">
        <f aca="false">IFERROR(INDEX(Lead_Master!$B$2:$B$1000,MATCH($A151,Lead_Master!$A$2:$A$1000,0)),"")</f>
        <v>Abhishek Patel</v>
      </c>
      <c r="C151" s="2" t="str">
        <f aca="false">IFERROR(LOOKUP(2,1/(Interaction_Log!$B$2:$B$3000=$A151),Interaction_Log!$E$2:$E$3000),"No contact")</f>
        <v>Paid</v>
      </c>
      <c r="D151" s="5" t="str">
        <f aca="false">IFERROR(INDEX(Lists!$B$2:$B$12,MATCH($C151,Lists!$A$2:$A$12,0)),"Unmapped")</f>
        <v>Converted</v>
      </c>
      <c r="E151" s="4" t="str">
        <f aca="false">IFERROR(LOOKUP(2,1/((Interaction_Log!$B$2:$B$3000=$A151)*(Interaction_Log!$G$2:$G$3000&lt;&gt;"")),Interaction_Log!$G$2:$G$3000),"")</f>
        <v/>
      </c>
      <c r="F151" s="5" t="str">
        <f aca="false">IFERROR(INDEX(Lists!$C$2:$C$12,MATCH($C151,Lists!$A$2:$A$12,0)),"")</f>
        <v>—</v>
      </c>
      <c r="G151" s="5" t="str">
        <f aca="false">IFERROR(INDEX(Lists!$D$2:$D$12,MATCH($C151,Lists!$A$2:$A$12,0)),"")</f>
        <v>Onboard</v>
      </c>
      <c r="H151" s="5" t="str">
        <f aca="false">IF(OR($D151="Converted",$D151="Closed"),"—",IF($E151="","Not Scheduled",IF($E151&lt;CRM_Dashboard!$B$3,"Overdue",IF($E151=CRM_Dashboard!$B$3,"Due Today","Upcoming"))))</f>
        <v>—</v>
      </c>
      <c r="I151" s="5" t="n">
        <f aca="false">COUNTIF(Interaction_Log!$B$2:$B$3000,$A151)</f>
        <v>4</v>
      </c>
      <c r="J151" s="5" t="str">
        <f aca="false">IF(COUNTIFS(Interaction_Log!$B$2:$B$3000,$A151,Interaction_Log!$E$2:$E$3000,"Details Sent")&gt;0,"Yes","No")</f>
        <v>Yes</v>
      </c>
      <c r="K151" s="2" t="str">
        <f aca="false">IF(AND(COUNTIFS(Interaction_Log!$B$2:$B$3000,$A151,Interaction_Log!$E$2:$E$3000,"Paid")&gt;0,$C151&lt;&gt;"Paid"),"Paid then re-opened","")</f>
        <v/>
      </c>
    </row>
    <row r="152" customFormat="false" ht="15" hidden="false" customHeight="false" outlineLevel="0" collapsed="false">
      <c r="A152" s="2" t="s">
        <v>619</v>
      </c>
      <c r="B152" s="2" t="str">
        <f aca="false">IFERROR(INDEX(Lead_Master!$B$2:$B$1000,MATCH($A152,Lead_Master!$A$2:$A$1000,0)),"")</f>
        <v>Karan Kumar</v>
      </c>
      <c r="C152" s="2" t="str">
        <f aca="false">IFERROR(LOOKUP(2,1/(Interaction_Log!$B$2:$B$3000=$A152),Interaction_Log!$E$2:$E$3000),"No contact")</f>
        <v>Call Back Later</v>
      </c>
      <c r="D152" s="5" t="str">
        <f aca="false">IFERROR(INDEX(Lists!$B$2:$B$12,MATCH($C152,Lists!$A$2:$A$12,0)),"Unmapped")</f>
        <v>Pending</v>
      </c>
      <c r="E152" s="4" t="n">
        <f aca="false">IFERROR(LOOKUP(2,1/((Interaction_Log!$B$2:$B$3000=$A152)*(Interaction_Log!$G$2:$G$3000&lt;&gt;"")),Interaction_Log!$G$2:$G$3000),"")</f>
        <v>46279</v>
      </c>
      <c r="F152" s="5" t="str">
        <f aca="false">IFERROR(INDEX(Lists!$C$2:$C$12,MATCH($C152,Lists!$A$2:$A$12,0)),"")</f>
        <v>Medium</v>
      </c>
      <c r="G152" s="5" t="str">
        <f aca="false">IFERROR(INDEX(Lists!$D$2:$D$12,MATCH($C152,Lists!$A$2:$A$12,0)),"")</f>
        <v>Call</v>
      </c>
      <c r="H152" s="5" t="str">
        <f aca="false">IF(OR($D152="Converted",$D152="Closed"),"—",IF($E152="","Not Scheduled",IF($E152&lt;CRM_Dashboard!$B$3,"Overdue",IF($E152=CRM_Dashboard!$B$3,"Due Today","Upcoming"))))</f>
        <v>Overdue</v>
      </c>
      <c r="I152" s="5" t="n">
        <f aca="false">COUNTIF(Interaction_Log!$B$2:$B$3000,$A152)</f>
        <v>3</v>
      </c>
      <c r="J152" s="5" t="str">
        <f aca="false">IF(COUNTIFS(Interaction_Log!$B$2:$B$3000,$A152,Interaction_Log!$E$2:$E$3000,"Details Sent")&gt;0,"Yes","No")</f>
        <v>No</v>
      </c>
      <c r="K152" s="2" t="str">
        <f aca="false">IF(AND(COUNTIFS(Interaction_Log!$B$2:$B$3000,$A152,Interaction_Log!$E$2:$E$3000,"Paid")&gt;0,$C152&lt;&gt;"Paid"),"Paid then re-opened","")</f>
        <v/>
      </c>
    </row>
    <row r="153" customFormat="false" ht="15" hidden="false" customHeight="false" outlineLevel="0" collapsed="false">
      <c r="A153" s="2" t="s">
        <v>623</v>
      </c>
      <c r="B153" s="2" t="str">
        <f aca="false">IFERROR(INDEX(Lead_Master!$B$2:$B$1000,MATCH($A153,Lead_Master!$A$2:$A$1000,0)),"")</f>
        <v>Rohan Verma</v>
      </c>
      <c r="C153" s="2" t="str">
        <f aca="false">IFERROR(LOOKUP(2,1/(Interaction_Log!$B$2:$B$3000=$A153),Interaction_Log!$E$2:$E$3000),"No contact")</f>
        <v>Not Interested</v>
      </c>
      <c r="D153" s="5" t="str">
        <f aca="false">IFERROR(INDEX(Lists!$B$2:$B$12,MATCH($C153,Lists!$A$2:$A$12,0)),"Unmapped")</f>
        <v>Closed</v>
      </c>
      <c r="E153" s="4" t="str">
        <f aca="false">IFERROR(LOOKUP(2,1/((Interaction_Log!$B$2:$B$3000=$A153)*(Interaction_Log!$G$2:$G$3000&lt;&gt;"")),Interaction_Log!$G$2:$G$3000),"")</f>
        <v/>
      </c>
      <c r="F153" s="5" t="str">
        <f aca="false">IFERROR(INDEX(Lists!$C$2:$C$12,MATCH($C153,Lists!$A$2:$A$12,0)),"")</f>
        <v>—</v>
      </c>
      <c r="G153" s="5" t="str">
        <f aca="false">IFERROR(INDEX(Lists!$D$2:$D$12,MATCH($C153,Lists!$A$2:$A$12,0)),"")</f>
        <v>No action</v>
      </c>
      <c r="H153" s="5" t="str">
        <f aca="false">IF(OR($D153="Converted",$D153="Closed"),"—",IF($E153="","Not Scheduled",IF($E153&lt;CRM_Dashboard!$B$3,"Overdue",IF($E153=CRM_Dashboard!$B$3,"Due Today","Upcoming"))))</f>
        <v>—</v>
      </c>
      <c r="I153" s="5" t="n">
        <f aca="false">COUNTIF(Interaction_Log!$B$2:$B$3000,$A153)</f>
        <v>4</v>
      </c>
      <c r="J153" s="5" t="str">
        <f aca="false">IF(COUNTIFS(Interaction_Log!$B$2:$B$3000,$A153,Interaction_Log!$E$2:$E$3000,"Details Sent")&gt;0,"Yes","No")</f>
        <v>Yes</v>
      </c>
      <c r="K153" s="2" t="str">
        <f aca="false">IF(AND(COUNTIFS(Interaction_Log!$B$2:$B$3000,$A153,Interaction_Log!$E$2:$E$3000,"Paid")&gt;0,$C153&lt;&gt;"Paid"),"Paid then re-opened","")</f>
        <v/>
      </c>
    </row>
    <row r="154" customFormat="false" ht="15" hidden="false" customHeight="false" outlineLevel="0" collapsed="false">
      <c r="A154" s="2" t="s">
        <v>626</v>
      </c>
      <c r="B154" s="2" t="str">
        <f aca="false">IFERROR(INDEX(Lead_Master!$B$2:$B$1000,MATCH($A154,Lead_Master!$A$2:$A$1000,0)),"")</f>
        <v>Yash Mishra</v>
      </c>
      <c r="C154" s="2" t="str">
        <f aca="false">IFERROR(LOOKUP(2,1/(Interaction_Log!$B$2:$B$3000=$A154),Interaction_Log!$E$2:$E$3000),"No contact")</f>
        <v>DNP</v>
      </c>
      <c r="D154" s="5" t="str">
        <f aca="false">IFERROR(INDEX(Lists!$B$2:$B$12,MATCH($C154,Lists!$A$2:$A$12,0)),"Unmapped")</f>
        <v>Pending</v>
      </c>
      <c r="E154" s="4" t="str">
        <f aca="false">IFERROR(LOOKUP(2,1/((Interaction_Log!$B$2:$B$3000=$A154)*(Interaction_Log!$G$2:$G$3000&lt;&gt;"")),Interaction_Log!$G$2:$G$3000),"")</f>
        <v/>
      </c>
      <c r="F154" s="5" t="str">
        <f aca="false">IFERROR(INDEX(Lists!$C$2:$C$12,MATCH($C154,Lists!$A$2:$A$12,0)),"")</f>
        <v>Low</v>
      </c>
      <c r="G154" s="5" t="str">
        <f aca="false">IFERROR(INDEX(Lists!$D$2:$D$12,MATCH($C154,Lists!$A$2:$A$12,0)),"")</f>
        <v>Retry</v>
      </c>
      <c r="H154" s="5" t="str">
        <f aca="false">IF(OR($D154="Converted",$D154="Closed"),"—",IF($E154="","Not Scheduled",IF($E154&lt;CRM_Dashboard!$B$3,"Overdue",IF($E154=CRM_Dashboard!$B$3,"Due Today","Upcoming"))))</f>
        <v>Not Scheduled</v>
      </c>
      <c r="I154" s="5" t="n">
        <f aca="false">COUNTIF(Interaction_Log!$B$2:$B$3000,$A154)</f>
        <v>2</v>
      </c>
      <c r="J154" s="5" t="str">
        <f aca="false">IF(COUNTIFS(Interaction_Log!$B$2:$B$3000,$A154,Interaction_Log!$E$2:$E$3000,"Details Sent")&gt;0,"Yes","No")</f>
        <v>No</v>
      </c>
      <c r="K154" s="2" t="str">
        <f aca="false">IF(AND(COUNTIFS(Interaction_Log!$B$2:$B$3000,$A154,Interaction_Log!$E$2:$E$3000,"Paid")&gt;0,$C154&lt;&gt;"Paid"),"Paid then re-opened","")</f>
        <v/>
      </c>
    </row>
    <row r="155" customFormat="false" ht="15" hidden="false" customHeight="false" outlineLevel="0" collapsed="false">
      <c r="A155" s="2" t="s">
        <v>629</v>
      </c>
      <c r="B155" s="2" t="str">
        <f aca="false">IFERROR(INDEX(Lead_Master!$B$2:$B$1000,MATCH($A155,Lead_Master!$A$2:$A$1000,0)),"")</f>
        <v>Shreya Gupta</v>
      </c>
      <c r="C155" s="2" t="str">
        <f aca="false">IFERROR(LOOKUP(2,1/(Interaction_Log!$B$2:$B$3000=$A155),Interaction_Log!$E$2:$E$3000),"No contact")</f>
        <v>Details Sent</v>
      </c>
      <c r="D155" s="5" t="str">
        <f aca="false">IFERROR(INDEX(Lists!$B$2:$B$12,MATCH($C155,Lists!$A$2:$A$12,0)),"Unmapped")</f>
        <v>Follow Up</v>
      </c>
      <c r="E155" s="4" t="n">
        <f aca="false">IFERROR(LOOKUP(2,1/((Interaction_Log!$B$2:$B$3000=$A155)*(Interaction_Log!$G$2:$G$3000&lt;&gt;"")),Interaction_Log!$G$2:$G$3000),"")</f>
        <v>46212</v>
      </c>
      <c r="F155" s="5" t="str">
        <f aca="false">IFERROR(INDEX(Lists!$C$2:$C$12,MATCH($C155,Lists!$A$2:$A$12,0)),"")</f>
        <v>High</v>
      </c>
      <c r="G155" s="5" t="str">
        <f aca="false">IFERROR(INDEX(Lists!$D$2:$D$12,MATCH($C155,Lists!$A$2:$A$12,0)),"")</f>
        <v>Call</v>
      </c>
      <c r="H155" s="5" t="str">
        <f aca="false">IF(OR($D155="Converted",$D155="Closed"),"—",IF($E155="","Not Scheduled",IF($E155&lt;CRM_Dashboard!$B$3,"Overdue",IF($E155=CRM_Dashboard!$B$3,"Due Today","Upcoming"))))</f>
        <v>Overdue</v>
      </c>
      <c r="I155" s="5" t="n">
        <f aca="false">COUNTIF(Interaction_Log!$B$2:$B$3000,$A155)</f>
        <v>1</v>
      </c>
      <c r="J155" s="5" t="str">
        <f aca="false">IF(COUNTIFS(Interaction_Log!$B$2:$B$3000,$A155,Interaction_Log!$E$2:$E$3000,"Details Sent")&gt;0,"Yes","No")</f>
        <v>Yes</v>
      </c>
      <c r="K155" s="2" t="str">
        <f aca="false">IF(AND(COUNTIFS(Interaction_Log!$B$2:$B$3000,$A155,Interaction_Log!$E$2:$E$3000,"Paid")&gt;0,$C155&lt;&gt;"Paid"),"Paid then re-opened","")</f>
        <v/>
      </c>
    </row>
    <row r="156" customFormat="false" ht="15" hidden="false" customHeight="false" outlineLevel="0" collapsed="false">
      <c r="A156" s="2" t="s">
        <v>632</v>
      </c>
      <c r="B156" s="2" t="str">
        <f aca="false">IFERROR(INDEX(Lead_Master!$B$2:$B$1000,MATCH($A156,Lead_Master!$A$2:$A$1000,0)),"")</f>
        <v>Khushi Jain</v>
      </c>
      <c r="C156" s="2" t="str">
        <f aca="false">IFERROR(LOOKUP(2,1/(Interaction_Log!$B$2:$B$3000=$A156),Interaction_Log!$E$2:$E$3000),"No contact")</f>
        <v>Wrong Number</v>
      </c>
      <c r="D156" s="5" t="str">
        <f aca="false">IFERROR(INDEX(Lists!$B$2:$B$12,MATCH($C156,Lists!$A$2:$A$12,0)),"Unmapped")</f>
        <v>Closed</v>
      </c>
      <c r="E156" s="4" t="str">
        <f aca="false">IFERROR(LOOKUP(2,1/((Interaction_Log!$B$2:$B$3000=$A156)*(Interaction_Log!$G$2:$G$3000&lt;&gt;"")),Interaction_Log!$G$2:$G$3000),"")</f>
        <v/>
      </c>
      <c r="F156" s="5" t="str">
        <f aca="false">IFERROR(INDEX(Lists!$C$2:$C$12,MATCH($C156,Lists!$A$2:$A$12,0)),"")</f>
        <v>—</v>
      </c>
      <c r="G156" s="5" t="str">
        <f aca="false">IFERROR(INDEX(Lists!$D$2:$D$12,MATCH($C156,Lists!$A$2:$A$12,0)),"")</f>
        <v>Verify number</v>
      </c>
      <c r="H156" s="5" t="str">
        <f aca="false">IF(OR($D156="Converted",$D156="Closed"),"—",IF($E156="","Not Scheduled",IF($E156&lt;CRM_Dashboard!$B$3,"Overdue",IF($E156=CRM_Dashboard!$B$3,"Due Today","Upcoming"))))</f>
        <v>—</v>
      </c>
      <c r="I156" s="5" t="n">
        <f aca="false">COUNTIF(Interaction_Log!$B$2:$B$3000,$A156)</f>
        <v>3</v>
      </c>
      <c r="J156" s="5" t="str">
        <f aca="false">IF(COUNTIFS(Interaction_Log!$B$2:$B$3000,$A156,Interaction_Log!$E$2:$E$3000,"Details Sent")&gt;0,"Yes","No")</f>
        <v>No</v>
      </c>
      <c r="K156" s="2" t="str">
        <f aca="false">IF(AND(COUNTIFS(Interaction_Log!$B$2:$B$3000,$A156,Interaction_Log!$E$2:$E$3000,"Paid")&gt;0,$C156&lt;&gt;"Paid"),"Paid then re-opened","")</f>
        <v/>
      </c>
    </row>
    <row r="157" customFormat="false" ht="15" hidden="false" customHeight="false" outlineLevel="0" collapsed="false">
      <c r="A157" s="2" t="s">
        <v>636</v>
      </c>
      <c r="B157" s="2" t="str">
        <f aca="false">IFERROR(INDEX(Lead_Master!$B$2:$B$1000,MATCH($A157,Lead_Master!$A$2:$A$1000,0)),"")</f>
        <v>Harsh Srivastava</v>
      </c>
      <c r="C157" s="2" t="str">
        <f aca="false">IFERROR(LOOKUP(2,1/(Interaction_Log!$B$2:$B$3000=$A157),Interaction_Log!$E$2:$E$3000),"No contact")</f>
        <v>Switch Off</v>
      </c>
      <c r="D157" s="5" t="str">
        <f aca="false">IFERROR(INDEX(Lists!$B$2:$B$12,MATCH($C157,Lists!$A$2:$A$12,0)),"Unmapped")</f>
        <v>Pending</v>
      </c>
      <c r="E157" s="4" t="str">
        <f aca="false">IFERROR(LOOKUP(2,1/((Interaction_Log!$B$2:$B$3000=$A157)*(Interaction_Log!$G$2:$G$3000&lt;&gt;"")),Interaction_Log!$G$2:$G$3000),"")</f>
        <v/>
      </c>
      <c r="F157" s="5" t="str">
        <f aca="false">IFERROR(INDEX(Lists!$C$2:$C$12,MATCH($C157,Lists!$A$2:$A$12,0)),"")</f>
        <v>Low</v>
      </c>
      <c r="G157" s="5" t="str">
        <f aca="false">IFERROR(INDEX(Lists!$D$2:$D$12,MATCH($C157,Lists!$A$2:$A$12,0)),"")</f>
        <v>Retry</v>
      </c>
      <c r="H157" s="5" t="str">
        <f aca="false">IF(OR($D157="Converted",$D157="Closed"),"—",IF($E157="","Not Scheduled",IF($E157&lt;CRM_Dashboard!$B$3,"Overdue",IF($E157=CRM_Dashboard!$B$3,"Due Today","Upcoming"))))</f>
        <v>Not Scheduled</v>
      </c>
      <c r="I157" s="5" t="n">
        <f aca="false">COUNTIF(Interaction_Log!$B$2:$B$3000,$A157)</f>
        <v>4</v>
      </c>
      <c r="J157" s="5" t="str">
        <f aca="false">IF(COUNTIFS(Interaction_Log!$B$2:$B$3000,$A157,Interaction_Log!$E$2:$E$3000,"Details Sent")&gt;0,"Yes","No")</f>
        <v>No</v>
      </c>
      <c r="K157" s="2" t="str">
        <f aca="false">IF(AND(COUNTIFS(Interaction_Log!$B$2:$B$3000,$A157,Interaction_Log!$E$2:$E$3000,"Paid")&gt;0,$C157&lt;&gt;"Paid"),"Paid then re-opened","")</f>
        <v/>
      </c>
    </row>
    <row r="158" customFormat="false" ht="15" hidden="false" customHeight="false" outlineLevel="0" collapsed="false">
      <c r="A158" s="2" t="s">
        <v>640</v>
      </c>
      <c r="B158" s="2" t="str">
        <f aca="false">IFERROR(INDEX(Lead_Master!$B$2:$B$1000,MATCH($A158,Lead_Master!$A$2:$A$1000,0)),"")</f>
        <v>Shreya Pandey</v>
      </c>
      <c r="C158" s="2" t="str">
        <f aca="false">IFERROR(LOOKUP(2,1/(Interaction_Log!$B$2:$B$3000=$A158),Interaction_Log!$E$2:$E$3000),"No contact")</f>
        <v>DNP</v>
      </c>
      <c r="D158" s="5" t="str">
        <f aca="false">IFERROR(INDEX(Lists!$B$2:$B$12,MATCH($C158,Lists!$A$2:$A$12,0)),"Unmapped")</f>
        <v>Pending</v>
      </c>
      <c r="E158" s="4" t="str">
        <f aca="false">IFERROR(LOOKUP(2,1/((Interaction_Log!$B$2:$B$3000=$A158)*(Interaction_Log!$G$2:$G$3000&lt;&gt;"")),Interaction_Log!$G$2:$G$3000),"")</f>
        <v/>
      </c>
      <c r="F158" s="5" t="str">
        <f aca="false">IFERROR(INDEX(Lists!$C$2:$C$12,MATCH($C158,Lists!$A$2:$A$12,0)),"")</f>
        <v>Low</v>
      </c>
      <c r="G158" s="5" t="str">
        <f aca="false">IFERROR(INDEX(Lists!$D$2:$D$12,MATCH($C158,Lists!$A$2:$A$12,0)),"")</f>
        <v>Retry</v>
      </c>
      <c r="H158" s="5" t="str">
        <f aca="false">IF(OR($D158="Converted",$D158="Closed"),"—",IF($E158="","Not Scheduled",IF($E158&lt;CRM_Dashboard!$B$3,"Overdue",IF($E158=CRM_Dashboard!$B$3,"Due Today","Upcoming"))))</f>
        <v>Not Scheduled</v>
      </c>
      <c r="I158" s="5" t="n">
        <f aca="false">COUNTIF(Interaction_Log!$B$2:$B$3000,$A158)</f>
        <v>4</v>
      </c>
      <c r="J158" s="5" t="str">
        <f aca="false">IF(COUNTIFS(Interaction_Log!$B$2:$B$3000,$A158,Interaction_Log!$E$2:$E$3000,"Details Sent")&gt;0,"Yes","No")</f>
        <v>Yes</v>
      </c>
      <c r="K158" s="2" t="str">
        <f aca="false">IF(AND(COUNTIFS(Interaction_Log!$B$2:$B$3000,$A158,Interaction_Log!$E$2:$E$3000,"Paid")&gt;0,$C158&lt;&gt;"Paid"),"Paid then re-opened","")</f>
        <v/>
      </c>
    </row>
    <row r="159" customFormat="false" ht="15" hidden="false" customHeight="false" outlineLevel="0" collapsed="false">
      <c r="A159" s="2" t="s">
        <v>644</v>
      </c>
      <c r="B159" s="2" t="str">
        <f aca="false">IFERROR(INDEX(Lead_Master!$B$2:$B$1000,MATCH($A159,Lead_Master!$A$2:$A$1000,0)),"")</f>
        <v>Aarav Agarwal</v>
      </c>
      <c r="C159" s="2" t="str">
        <f aca="false">IFERROR(LOOKUP(2,1/(Interaction_Log!$B$2:$B$3000=$A159),Interaction_Log!$E$2:$E$3000),"No contact")</f>
        <v>DNP</v>
      </c>
      <c r="D159" s="5" t="str">
        <f aca="false">IFERROR(INDEX(Lists!$B$2:$B$12,MATCH($C159,Lists!$A$2:$A$12,0)),"Unmapped")</f>
        <v>Pending</v>
      </c>
      <c r="E159" s="4" t="str">
        <f aca="false">IFERROR(LOOKUP(2,1/((Interaction_Log!$B$2:$B$3000=$A159)*(Interaction_Log!$G$2:$G$3000&lt;&gt;"")),Interaction_Log!$G$2:$G$3000),"")</f>
        <v/>
      </c>
      <c r="F159" s="5" t="str">
        <f aca="false">IFERROR(INDEX(Lists!$C$2:$C$12,MATCH($C159,Lists!$A$2:$A$12,0)),"")</f>
        <v>Low</v>
      </c>
      <c r="G159" s="5" t="str">
        <f aca="false">IFERROR(INDEX(Lists!$D$2:$D$12,MATCH($C159,Lists!$A$2:$A$12,0)),"")</f>
        <v>Retry</v>
      </c>
      <c r="H159" s="5" t="str">
        <f aca="false">IF(OR($D159="Converted",$D159="Closed"),"—",IF($E159="","Not Scheduled",IF($E159&lt;CRM_Dashboard!$B$3,"Overdue",IF($E159=CRM_Dashboard!$B$3,"Due Today","Upcoming"))))</f>
        <v>Not Scheduled</v>
      </c>
      <c r="I159" s="5" t="n">
        <f aca="false">COUNTIF(Interaction_Log!$B$2:$B$3000,$A159)</f>
        <v>3</v>
      </c>
      <c r="J159" s="5" t="str">
        <f aca="false">IF(COUNTIFS(Interaction_Log!$B$2:$B$3000,$A159,Interaction_Log!$E$2:$E$3000,"Details Sent")&gt;0,"Yes","No")</f>
        <v>No</v>
      </c>
      <c r="K159" s="2" t="str">
        <f aca="false">IF(AND(COUNTIFS(Interaction_Log!$B$2:$B$3000,$A159,Interaction_Log!$E$2:$E$3000,"Paid")&gt;0,$C159&lt;&gt;"Paid"),"Paid then re-opened","")</f>
        <v/>
      </c>
    </row>
    <row r="160" customFormat="false" ht="15" hidden="false" customHeight="false" outlineLevel="0" collapsed="false">
      <c r="A160" s="2" t="s">
        <v>648</v>
      </c>
      <c r="B160" s="2" t="str">
        <f aca="false">IFERROR(INDEX(Lead_Master!$B$2:$B$1000,MATCH($A160,Lead_Master!$A$2:$A$1000,0)),"")</f>
        <v>Sneha Singh</v>
      </c>
      <c r="C160" s="2" t="str">
        <f aca="false">IFERROR(LOOKUP(2,1/(Interaction_Log!$B$2:$B$3000=$A160),Interaction_Log!$E$2:$E$3000),"No contact")</f>
        <v>Details Sent</v>
      </c>
      <c r="D160" s="5" t="str">
        <f aca="false">IFERROR(INDEX(Lists!$B$2:$B$12,MATCH($C160,Lists!$A$2:$A$12,0)),"Unmapped")</f>
        <v>Follow Up</v>
      </c>
      <c r="E160" s="4" t="n">
        <f aca="false">IFERROR(LOOKUP(2,1/((Interaction_Log!$B$2:$B$3000=$A160)*(Interaction_Log!$G$2:$G$3000&lt;&gt;"")),Interaction_Log!$G$2:$G$3000),"")</f>
        <v>46270</v>
      </c>
      <c r="F160" s="5" t="str">
        <f aca="false">IFERROR(INDEX(Lists!$C$2:$C$12,MATCH($C160,Lists!$A$2:$A$12,0)),"")</f>
        <v>High</v>
      </c>
      <c r="G160" s="5" t="str">
        <f aca="false">IFERROR(INDEX(Lists!$D$2:$D$12,MATCH($C160,Lists!$A$2:$A$12,0)),"")</f>
        <v>Call</v>
      </c>
      <c r="H160" s="5" t="str">
        <f aca="false">IF(OR($D160="Converted",$D160="Closed"),"—",IF($E160="","Not Scheduled",IF($E160&lt;CRM_Dashboard!$B$3,"Overdue",IF($E160=CRM_Dashboard!$B$3,"Due Today","Upcoming"))))</f>
        <v>Overdue</v>
      </c>
      <c r="I160" s="5" t="n">
        <f aca="false">COUNTIF(Interaction_Log!$B$2:$B$3000,$A160)</f>
        <v>3</v>
      </c>
      <c r="J160" s="5" t="str">
        <f aca="false">IF(COUNTIFS(Interaction_Log!$B$2:$B$3000,$A160,Interaction_Log!$E$2:$E$3000,"Details Sent")&gt;0,"Yes","No")</f>
        <v>Yes</v>
      </c>
      <c r="K160" s="2" t="str">
        <f aca="false">IF(AND(COUNTIFS(Interaction_Log!$B$2:$B$3000,$A160,Interaction_Log!$E$2:$E$3000,"Paid")&gt;0,$C160&lt;&gt;"Paid"),"Paid then re-opened","")</f>
        <v>Paid then re-opened</v>
      </c>
    </row>
    <row r="161" customFormat="false" ht="15" hidden="false" customHeight="false" outlineLevel="0" collapsed="false">
      <c r="A161" s="2" t="s">
        <v>651</v>
      </c>
      <c r="B161" s="2" t="str">
        <f aca="false">IFERROR(INDEX(Lead_Master!$B$2:$B$1000,MATCH($A161,Lead_Master!$A$2:$A$1000,0)),"")</f>
        <v>Ishita Gupta</v>
      </c>
      <c r="C161" s="2" t="str">
        <f aca="false">IFERROR(LOOKUP(2,1/(Interaction_Log!$B$2:$B$3000=$A161),Interaction_Log!$E$2:$E$3000),"No contact")</f>
        <v>Details Sent</v>
      </c>
      <c r="D161" s="5" t="str">
        <f aca="false">IFERROR(INDEX(Lists!$B$2:$B$12,MATCH($C161,Lists!$A$2:$A$12,0)),"Unmapped")</f>
        <v>Follow Up</v>
      </c>
      <c r="E161" s="4" t="n">
        <f aca="false">IFERROR(LOOKUP(2,1/((Interaction_Log!$B$2:$B$3000=$A161)*(Interaction_Log!$G$2:$G$3000&lt;&gt;"")),Interaction_Log!$G$2:$G$3000),"")</f>
        <v>46220</v>
      </c>
      <c r="F161" s="5" t="str">
        <f aca="false">IFERROR(INDEX(Lists!$C$2:$C$12,MATCH($C161,Lists!$A$2:$A$12,0)),"")</f>
        <v>High</v>
      </c>
      <c r="G161" s="5" t="str">
        <f aca="false">IFERROR(INDEX(Lists!$D$2:$D$12,MATCH($C161,Lists!$A$2:$A$12,0)),"")</f>
        <v>Call</v>
      </c>
      <c r="H161" s="5" t="str">
        <f aca="false">IF(OR($D161="Converted",$D161="Closed"),"—",IF($E161="","Not Scheduled",IF($E161&lt;CRM_Dashboard!$B$3,"Overdue",IF($E161=CRM_Dashboard!$B$3,"Due Today","Upcoming"))))</f>
        <v>Overdue</v>
      </c>
      <c r="I161" s="5" t="n">
        <f aca="false">COUNTIF(Interaction_Log!$B$2:$B$3000,$A161)</f>
        <v>1</v>
      </c>
      <c r="J161" s="5" t="str">
        <f aca="false">IF(COUNTIFS(Interaction_Log!$B$2:$B$3000,$A161,Interaction_Log!$E$2:$E$3000,"Details Sent")&gt;0,"Yes","No")</f>
        <v>Yes</v>
      </c>
      <c r="K161" s="2" t="str">
        <f aca="false">IF(AND(COUNTIFS(Interaction_Log!$B$2:$B$3000,$A161,Interaction_Log!$E$2:$E$3000,"Paid")&gt;0,$C161&lt;&gt;"Paid"),"Paid then re-opened","")</f>
        <v/>
      </c>
    </row>
    <row r="162" customFormat="false" ht="15" hidden="false" customHeight="false" outlineLevel="0" collapsed="false">
      <c r="A162" s="2" t="s">
        <v>655</v>
      </c>
      <c r="B162" s="2" t="str">
        <f aca="false">IFERROR(INDEX(Lead_Master!$B$2:$B$1000,MATCH($A162,Lead_Master!$A$2:$A$1000,0)),"")</f>
        <v>Aman Gupta</v>
      </c>
      <c r="C162" s="2" t="str">
        <f aca="false">IFERROR(LOOKUP(2,1/(Interaction_Log!$B$2:$B$3000=$A162),Interaction_Log!$E$2:$E$3000),"No contact")</f>
        <v>Details Sent</v>
      </c>
      <c r="D162" s="5" t="str">
        <f aca="false">IFERROR(INDEX(Lists!$B$2:$B$12,MATCH($C162,Lists!$A$2:$A$12,0)),"Unmapped")</f>
        <v>Follow Up</v>
      </c>
      <c r="E162" s="4" t="n">
        <f aca="false">IFERROR(LOOKUP(2,1/((Interaction_Log!$B$2:$B$3000=$A162)*(Interaction_Log!$G$2:$G$3000&lt;&gt;"")),Interaction_Log!$G$2:$G$3000),"")</f>
        <v>46238</v>
      </c>
      <c r="F162" s="5" t="str">
        <f aca="false">IFERROR(INDEX(Lists!$C$2:$C$12,MATCH($C162,Lists!$A$2:$A$12,0)),"")</f>
        <v>High</v>
      </c>
      <c r="G162" s="5" t="str">
        <f aca="false">IFERROR(INDEX(Lists!$D$2:$D$12,MATCH($C162,Lists!$A$2:$A$12,0)),"")</f>
        <v>Call</v>
      </c>
      <c r="H162" s="5" t="str">
        <f aca="false">IF(OR($D162="Converted",$D162="Closed"),"—",IF($E162="","Not Scheduled",IF($E162&lt;CRM_Dashboard!$B$3,"Overdue",IF($E162=CRM_Dashboard!$B$3,"Due Today","Upcoming"))))</f>
        <v>Overdue</v>
      </c>
      <c r="I162" s="5" t="n">
        <f aca="false">COUNTIF(Interaction_Log!$B$2:$B$3000,$A162)</f>
        <v>2</v>
      </c>
      <c r="J162" s="5" t="str">
        <f aca="false">IF(COUNTIFS(Interaction_Log!$B$2:$B$3000,$A162,Interaction_Log!$E$2:$E$3000,"Details Sent")&gt;0,"Yes","No")</f>
        <v>Yes</v>
      </c>
      <c r="K162" s="2" t="str">
        <f aca="false">IF(AND(COUNTIFS(Interaction_Log!$B$2:$B$3000,$A162,Interaction_Log!$E$2:$E$3000,"Paid")&gt;0,$C162&lt;&gt;"Paid"),"Paid then re-opened","")</f>
        <v/>
      </c>
    </row>
    <row r="163" customFormat="false" ht="15" hidden="false" customHeight="false" outlineLevel="0" collapsed="false">
      <c r="A163" s="2" t="s">
        <v>659</v>
      </c>
      <c r="B163" s="2" t="str">
        <f aca="false">IFERROR(INDEX(Lead_Master!$B$2:$B$1000,MATCH($A163,Lead_Master!$A$2:$A$1000,0)),"")</f>
        <v>Tanya Gupta</v>
      </c>
      <c r="C163" s="2" t="str">
        <f aca="false">IFERROR(LOOKUP(2,1/(Interaction_Log!$B$2:$B$3000=$A163),Interaction_Log!$E$2:$E$3000),"No contact")</f>
        <v>Details Sent</v>
      </c>
      <c r="D163" s="5" t="str">
        <f aca="false">IFERROR(INDEX(Lists!$B$2:$B$12,MATCH($C163,Lists!$A$2:$A$12,0)),"Unmapped")</f>
        <v>Follow Up</v>
      </c>
      <c r="E163" s="4" t="n">
        <f aca="false">IFERROR(LOOKUP(2,1/((Interaction_Log!$B$2:$B$3000=$A163)*(Interaction_Log!$G$2:$G$3000&lt;&gt;"")),Interaction_Log!$G$2:$G$3000),"")</f>
        <v>46297</v>
      </c>
      <c r="F163" s="5" t="str">
        <f aca="false">IFERROR(INDEX(Lists!$C$2:$C$12,MATCH($C163,Lists!$A$2:$A$12,0)),"")</f>
        <v>High</v>
      </c>
      <c r="G163" s="5" t="str">
        <f aca="false">IFERROR(INDEX(Lists!$D$2:$D$12,MATCH($C163,Lists!$A$2:$A$12,0)),"")</f>
        <v>Call</v>
      </c>
      <c r="H163" s="5" t="str">
        <f aca="false">IF(OR($D163="Converted",$D163="Closed"),"—",IF($E163="","Not Scheduled",IF($E163&lt;CRM_Dashboard!$B$3,"Overdue",IF($E163=CRM_Dashboard!$B$3,"Due Today","Upcoming"))))</f>
        <v>Upcoming</v>
      </c>
      <c r="I163" s="5" t="n">
        <f aca="false">COUNTIF(Interaction_Log!$B$2:$B$3000,$A163)</f>
        <v>1</v>
      </c>
      <c r="J163" s="5" t="str">
        <f aca="false">IF(COUNTIFS(Interaction_Log!$B$2:$B$3000,$A163,Interaction_Log!$E$2:$E$3000,"Details Sent")&gt;0,"Yes","No")</f>
        <v>Yes</v>
      </c>
      <c r="K163" s="2" t="str">
        <f aca="false">IF(AND(COUNTIFS(Interaction_Log!$B$2:$B$3000,$A163,Interaction_Log!$E$2:$E$3000,"Paid")&gt;0,$C163&lt;&gt;"Paid"),"Paid then re-opened","")</f>
        <v/>
      </c>
    </row>
    <row r="164" customFormat="false" ht="15" hidden="false" customHeight="false" outlineLevel="0" collapsed="false">
      <c r="A164" s="2" t="s">
        <v>662</v>
      </c>
      <c r="B164" s="2" t="str">
        <f aca="false">IFERROR(INDEX(Lead_Master!$B$2:$B$1000,MATCH($A164,Lead_Master!$A$2:$A$1000,0)),"")</f>
        <v>Sakshi Pandey</v>
      </c>
      <c r="C164" s="2" t="str">
        <f aca="false">IFERROR(LOOKUP(2,1/(Interaction_Log!$B$2:$B$3000=$A164),Interaction_Log!$E$2:$E$3000),"No contact")</f>
        <v>Details Sent</v>
      </c>
      <c r="D164" s="5" t="str">
        <f aca="false">IFERROR(INDEX(Lists!$B$2:$B$12,MATCH($C164,Lists!$A$2:$A$12,0)),"Unmapped")</f>
        <v>Follow Up</v>
      </c>
      <c r="E164" s="4" t="n">
        <f aca="false">IFERROR(LOOKUP(2,1/((Interaction_Log!$B$2:$B$3000=$A164)*(Interaction_Log!$G$2:$G$3000&lt;&gt;"")),Interaction_Log!$G$2:$G$3000),"")</f>
        <v>46227</v>
      </c>
      <c r="F164" s="5" t="str">
        <f aca="false">IFERROR(INDEX(Lists!$C$2:$C$12,MATCH($C164,Lists!$A$2:$A$12,0)),"")</f>
        <v>High</v>
      </c>
      <c r="G164" s="5" t="str">
        <f aca="false">IFERROR(INDEX(Lists!$D$2:$D$12,MATCH($C164,Lists!$A$2:$A$12,0)),"")</f>
        <v>Call</v>
      </c>
      <c r="H164" s="5" t="str">
        <f aca="false">IF(OR($D164="Converted",$D164="Closed"),"—",IF($E164="","Not Scheduled",IF($E164&lt;CRM_Dashboard!$B$3,"Overdue",IF($E164=CRM_Dashboard!$B$3,"Due Today","Upcoming"))))</f>
        <v>Overdue</v>
      </c>
      <c r="I164" s="5" t="n">
        <f aca="false">COUNTIF(Interaction_Log!$B$2:$B$3000,$A164)</f>
        <v>2</v>
      </c>
      <c r="J164" s="5" t="str">
        <f aca="false">IF(COUNTIFS(Interaction_Log!$B$2:$B$3000,$A164,Interaction_Log!$E$2:$E$3000,"Details Sent")&gt;0,"Yes","No")</f>
        <v>Yes</v>
      </c>
      <c r="K164" s="2" t="str">
        <f aca="false">IF(AND(COUNTIFS(Interaction_Log!$B$2:$B$3000,$A164,Interaction_Log!$E$2:$E$3000,"Paid")&gt;0,$C164&lt;&gt;"Paid"),"Paid then re-opened","")</f>
        <v/>
      </c>
    </row>
    <row r="165" customFormat="false" ht="15" hidden="false" customHeight="false" outlineLevel="0" collapsed="false">
      <c r="A165" s="2" t="s">
        <v>666</v>
      </c>
      <c r="B165" s="2" t="str">
        <f aca="false">IFERROR(INDEX(Lead_Master!$B$2:$B$1000,MATCH($A165,Lead_Master!$A$2:$A$1000,0)),"")</f>
        <v>Kartik Singh</v>
      </c>
      <c r="C165" s="2" t="str">
        <f aca="false">IFERROR(LOOKUP(2,1/(Interaction_Log!$B$2:$B$3000=$A165),Interaction_Log!$E$2:$E$3000),"No contact")</f>
        <v>Not Reachable</v>
      </c>
      <c r="D165" s="5" t="str">
        <f aca="false">IFERROR(INDEX(Lists!$B$2:$B$12,MATCH($C165,Lists!$A$2:$A$12,0)),"Unmapped")</f>
        <v>Pending</v>
      </c>
      <c r="E165" s="4" t="str">
        <f aca="false">IFERROR(LOOKUP(2,1/((Interaction_Log!$B$2:$B$3000=$A165)*(Interaction_Log!$G$2:$G$3000&lt;&gt;"")),Interaction_Log!$G$2:$G$3000),"")</f>
        <v/>
      </c>
      <c r="F165" s="5" t="str">
        <f aca="false">IFERROR(INDEX(Lists!$C$2:$C$12,MATCH($C165,Lists!$A$2:$A$12,0)),"")</f>
        <v>Low</v>
      </c>
      <c r="G165" s="5" t="str">
        <f aca="false">IFERROR(INDEX(Lists!$D$2:$D$12,MATCH($C165,Lists!$A$2:$A$12,0)),"")</f>
        <v>Retry</v>
      </c>
      <c r="H165" s="5" t="str">
        <f aca="false">IF(OR($D165="Converted",$D165="Closed"),"—",IF($E165="","Not Scheduled",IF($E165&lt;CRM_Dashboard!$B$3,"Overdue",IF($E165=CRM_Dashboard!$B$3,"Due Today","Upcoming"))))</f>
        <v>Not Scheduled</v>
      </c>
      <c r="I165" s="5" t="n">
        <f aca="false">COUNTIF(Interaction_Log!$B$2:$B$3000,$A165)</f>
        <v>4</v>
      </c>
      <c r="J165" s="5" t="str">
        <f aca="false">IF(COUNTIFS(Interaction_Log!$B$2:$B$3000,$A165,Interaction_Log!$E$2:$E$3000,"Details Sent")&gt;0,"Yes","No")</f>
        <v>Yes</v>
      </c>
      <c r="K165" s="2" t="str">
        <f aca="false">IF(AND(COUNTIFS(Interaction_Log!$B$2:$B$3000,$A165,Interaction_Log!$E$2:$E$3000,"Paid")&gt;0,$C165&lt;&gt;"Paid"),"Paid then re-opened","")</f>
        <v/>
      </c>
    </row>
    <row r="166" customFormat="false" ht="15" hidden="false" customHeight="false" outlineLevel="0" collapsed="false">
      <c r="A166" s="2" t="s">
        <v>669</v>
      </c>
      <c r="B166" s="2" t="str">
        <f aca="false">IFERROR(INDEX(Lead_Master!$B$2:$B$1000,MATCH($A166,Lead_Master!$A$2:$A$1000,0)),"")</f>
        <v>Aditya Mehta</v>
      </c>
      <c r="C166" s="2" t="str">
        <f aca="false">IFERROR(LOOKUP(2,1/(Interaction_Log!$B$2:$B$3000=$A166),Interaction_Log!$E$2:$E$3000),"No contact")</f>
        <v>Details Sent</v>
      </c>
      <c r="D166" s="5" t="str">
        <f aca="false">IFERROR(INDEX(Lists!$B$2:$B$12,MATCH($C166,Lists!$A$2:$A$12,0)),"Unmapped")</f>
        <v>Follow Up</v>
      </c>
      <c r="E166" s="4" t="n">
        <f aca="false">IFERROR(LOOKUP(2,1/((Interaction_Log!$B$2:$B$3000=$A166)*(Interaction_Log!$G$2:$G$3000&lt;&gt;"")),Interaction_Log!$G$2:$G$3000),"")</f>
        <v>46250</v>
      </c>
      <c r="F166" s="5" t="str">
        <f aca="false">IFERROR(INDEX(Lists!$C$2:$C$12,MATCH($C166,Lists!$A$2:$A$12,0)),"")</f>
        <v>High</v>
      </c>
      <c r="G166" s="5" t="str">
        <f aca="false">IFERROR(INDEX(Lists!$D$2:$D$12,MATCH($C166,Lists!$A$2:$A$12,0)),"")</f>
        <v>Call</v>
      </c>
      <c r="H166" s="5" t="str">
        <f aca="false">IF(OR($D166="Converted",$D166="Closed"),"—",IF($E166="","Not Scheduled",IF($E166&lt;CRM_Dashboard!$B$3,"Overdue",IF($E166=CRM_Dashboard!$B$3,"Due Today","Upcoming"))))</f>
        <v>Overdue</v>
      </c>
      <c r="I166" s="5" t="n">
        <f aca="false">COUNTIF(Interaction_Log!$B$2:$B$3000,$A166)</f>
        <v>1</v>
      </c>
      <c r="J166" s="5" t="str">
        <f aca="false">IF(COUNTIFS(Interaction_Log!$B$2:$B$3000,$A166,Interaction_Log!$E$2:$E$3000,"Details Sent")&gt;0,"Yes","No")</f>
        <v>Yes</v>
      </c>
      <c r="K166" s="2" t="str">
        <f aca="false">IF(AND(COUNTIFS(Interaction_Log!$B$2:$B$3000,$A166,Interaction_Log!$E$2:$E$3000,"Paid")&gt;0,$C166&lt;&gt;"Paid"),"Paid then re-opened","")</f>
        <v/>
      </c>
    </row>
    <row r="167" customFormat="false" ht="15" hidden="false" customHeight="false" outlineLevel="0" collapsed="false">
      <c r="A167" s="2" t="s">
        <v>673</v>
      </c>
      <c r="B167" s="2" t="str">
        <f aca="false">IFERROR(INDEX(Lead_Master!$B$2:$B$1000,MATCH($A167,Lead_Master!$A$2:$A$1000,0)),"")</f>
        <v>Simran Srivastava</v>
      </c>
      <c r="C167" s="2" t="str">
        <f aca="false">IFERROR(LOOKUP(2,1/(Interaction_Log!$B$2:$B$3000=$A167),Interaction_Log!$E$2:$E$3000),"No contact")</f>
        <v>Not Interested</v>
      </c>
      <c r="D167" s="5" t="str">
        <f aca="false">IFERROR(INDEX(Lists!$B$2:$B$12,MATCH($C167,Lists!$A$2:$A$12,0)),"Unmapped")</f>
        <v>Closed</v>
      </c>
      <c r="E167" s="4" t="str">
        <f aca="false">IFERROR(LOOKUP(2,1/((Interaction_Log!$B$2:$B$3000=$A167)*(Interaction_Log!$G$2:$G$3000&lt;&gt;"")),Interaction_Log!$G$2:$G$3000),"")</f>
        <v/>
      </c>
      <c r="F167" s="5" t="str">
        <f aca="false">IFERROR(INDEX(Lists!$C$2:$C$12,MATCH($C167,Lists!$A$2:$A$12,0)),"")</f>
        <v>—</v>
      </c>
      <c r="G167" s="5" t="str">
        <f aca="false">IFERROR(INDEX(Lists!$D$2:$D$12,MATCH($C167,Lists!$A$2:$A$12,0)),"")</f>
        <v>No action</v>
      </c>
      <c r="H167" s="5" t="str">
        <f aca="false">IF(OR($D167="Converted",$D167="Closed"),"—",IF($E167="","Not Scheduled",IF($E167&lt;CRM_Dashboard!$B$3,"Overdue",IF($E167=CRM_Dashboard!$B$3,"Due Today","Upcoming"))))</f>
        <v>—</v>
      </c>
      <c r="I167" s="5" t="n">
        <f aca="false">COUNTIF(Interaction_Log!$B$2:$B$3000,$A167)</f>
        <v>4</v>
      </c>
      <c r="J167" s="5" t="str">
        <f aca="false">IF(COUNTIFS(Interaction_Log!$B$2:$B$3000,$A167,Interaction_Log!$E$2:$E$3000,"Details Sent")&gt;0,"Yes","No")</f>
        <v>No</v>
      </c>
      <c r="K167" s="2" t="str">
        <f aca="false">IF(AND(COUNTIFS(Interaction_Log!$B$2:$B$3000,$A167,Interaction_Log!$E$2:$E$3000,"Paid")&gt;0,$C167&lt;&gt;"Paid"),"Paid then re-opened","")</f>
        <v/>
      </c>
    </row>
    <row r="168" customFormat="false" ht="15" hidden="false" customHeight="false" outlineLevel="0" collapsed="false">
      <c r="A168" s="2" t="s">
        <v>677</v>
      </c>
      <c r="B168" s="2" t="str">
        <f aca="false">IFERROR(INDEX(Lead_Master!$B$2:$B$1000,MATCH($A168,Lead_Master!$A$2:$A$1000,0)),"")</f>
        <v>Nidhi Singh</v>
      </c>
      <c r="C168" s="2" t="str">
        <f aca="false">IFERROR(LOOKUP(2,1/(Interaction_Log!$B$2:$B$3000=$A168),Interaction_Log!$E$2:$E$3000),"No contact")</f>
        <v>Not Interested</v>
      </c>
      <c r="D168" s="5" t="str">
        <f aca="false">IFERROR(INDEX(Lists!$B$2:$B$12,MATCH($C168,Lists!$A$2:$A$12,0)),"Unmapped")</f>
        <v>Closed</v>
      </c>
      <c r="E168" s="4" t="str">
        <f aca="false">IFERROR(LOOKUP(2,1/((Interaction_Log!$B$2:$B$3000=$A168)*(Interaction_Log!$G$2:$G$3000&lt;&gt;"")),Interaction_Log!$G$2:$G$3000),"")</f>
        <v/>
      </c>
      <c r="F168" s="5" t="str">
        <f aca="false">IFERROR(INDEX(Lists!$C$2:$C$12,MATCH($C168,Lists!$A$2:$A$12,0)),"")</f>
        <v>—</v>
      </c>
      <c r="G168" s="5" t="str">
        <f aca="false">IFERROR(INDEX(Lists!$D$2:$D$12,MATCH($C168,Lists!$A$2:$A$12,0)),"")</f>
        <v>No action</v>
      </c>
      <c r="H168" s="5" t="str">
        <f aca="false">IF(OR($D168="Converted",$D168="Closed"),"—",IF($E168="","Not Scheduled",IF($E168&lt;CRM_Dashboard!$B$3,"Overdue",IF($E168=CRM_Dashboard!$B$3,"Due Today","Upcoming"))))</f>
        <v>—</v>
      </c>
      <c r="I168" s="5" t="n">
        <f aca="false">COUNTIF(Interaction_Log!$B$2:$B$3000,$A168)</f>
        <v>1</v>
      </c>
      <c r="J168" s="5" t="str">
        <f aca="false">IF(COUNTIFS(Interaction_Log!$B$2:$B$3000,$A168,Interaction_Log!$E$2:$E$3000,"Details Sent")&gt;0,"Yes","No")</f>
        <v>No</v>
      </c>
      <c r="K168" s="2" t="str">
        <f aca="false">IF(AND(COUNTIFS(Interaction_Log!$B$2:$B$3000,$A168,Interaction_Log!$E$2:$E$3000,"Paid")&gt;0,$C168&lt;&gt;"Paid"),"Paid then re-opened","")</f>
        <v/>
      </c>
    </row>
    <row r="169" customFormat="false" ht="15" hidden="false" customHeight="false" outlineLevel="0" collapsed="false">
      <c r="A169" s="2" t="s">
        <v>681</v>
      </c>
      <c r="B169" s="2" t="str">
        <f aca="false">IFERROR(INDEX(Lead_Master!$B$2:$B$1000,MATCH($A169,Lead_Master!$A$2:$A$1000,0)),"")</f>
        <v>Karan Mishra</v>
      </c>
      <c r="C169" s="2" t="str">
        <f aca="false">IFERROR(LOOKUP(2,1/(Interaction_Log!$B$2:$B$3000=$A169),Interaction_Log!$E$2:$E$3000),"No contact")</f>
        <v>Paid</v>
      </c>
      <c r="D169" s="5" t="str">
        <f aca="false">IFERROR(INDEX(Lists!$B$2:$B$12,MATCH($C169,Lists!$A$2:$A$12,0)),"Unmapped")</f>
        <v>Converted</v>
      </c>
      <c r="E169" s="4" t="str">
        <f aca="false">IFERROR(LOOKUP(2,1/((Interaction_Log!$B$2:$B$3000=$A169)*(Interaction_Log!$G$2:$G$3000&lt;&gt;"")),Interaction_Log!$G$2:$G$3000),"")</f>
        <v/>
      </c>
      <c r="F169" s="5" t="str">
        <f aca="false">IFERROR(INDEX(Lists!$C$2:$C$12,MATCH($C169,Lists!$A$2:$A$12,0)),"")</f>
        <v>—</v>
      </c>
      <c r="G169" s="5" t="str">
        <f aca="false">IFERROR(INDEX(Lists!$D$2:$D$12,MATCH($C169,Lists!$A$2:$A$12,0)),"")</f>
        <v>Onboard</v>
      </c>
      <c r="H169" s="5" t="str">
        <f aca="false">IF(OR($D169="Converted",$D169="Closed"),"—",IF($E169="","Not Scheduled",IF($E169&lt;CRM_Dashboard!$B$3,"Overdue",IF($E169=CRM_Dashboard!$B$3,"Due Today","Upcoming"))))</f>
        <v>—</v>
      </c>
      <c r="I169" s="5" t="n">
        <f aca="false">COUNTIF(Interaction_Log!$B$2:$B$3000,$A169)</f>
        <v>2</v>
      </c>
      <c r="J169" s="5" t="str">
        <f aca="false">IF(COUNTIFS(Interaction_Log!$B$2:$B$3000,$A169,Interaction_Log!$E$2:$E$3000,"Details Sent")&gt;0,"Yes","No")</f>
        <v>No</v>
      </c>
      <c r="K169" s="2" t="str">
        <f aca="false">IF(AND(COUNTIFS(Interaction_Log!$B$2:$B$3000,$A169,Interaction_Log!$E$2:$E$3000,"Paid")&gt;0,$C169&lt;&gt;"Paid"),"Paid then re-opened","")</f>
        <v/>
      </c>
    </row>
    <row r="170" customFormat="false" ht="15" hidden="false" customHeight="false" outlineLevel="0" collapsed="false">
      <c r="A170" s="2" t="s">
        <v>685</v>
      </c>
      <c r="B170" s="2" t="str">
        <f aca="false">IFERROR(INDEX(Lead_Master!$B$2:$B$1000,MATCH($A170,Lead_Master!$A$2:$A$1000,0)),"")</f>
        <v>Riya Verma</v>
      </c>
      <c r="C170" s="2" t="str">
        <f aca="false">IFERROR(LOOKUP(2,1/(Interaction_Log!$B$2:$B$3000=$A170),Interaction_Log!$E$2:$E$3000),"No contact")</f>
        <v>Details Sent</v>
      </c>
      <c r="D170" s="5" t="str">
        <f aca="false">IFERROR(INDEX(Lists!$B$2:$B$12,MATCH($C170,Lists!$A$2:$A$12,0)),"Unmapped")</f>
        <v>Follow Up</v>
      </c>
      <c r="E170" s="4" t="n">
        <f aca="false">IFERROR(LOOKUP(2,1/((Interaction_Log!$B$2:$B$3000=$A170)*(Interaction_Log!$G$2:$G$3000&lt;&gt;"")),Interaction_Log!$G$2:$G$3000),"")</f>
        <v>46217</v>
      </c>
      <c r="F170" s="5" t="str">
        <f aca="false">IFERROR(INDEX(Lists!$C$2:$C$12,MATCH($C170,Lists!$A$2:$A$12,0)),"")</f>
        <v>High</v>
      </c>
      <c r="G170" s="5" t="str">
        <f aca="false">IFERROR(INDEX(Lists!$D$2:$D$12,MATCH($C170,Lists!$A$2:$A$12,0)),"")</f>
        <v>Call</v>
      </c>
      <c r="H170" s="5" t="str">
        <f aca="false">IF(OR($D170="Converted",$D170="Closed"),"—",IF($E170="","Not Scheduled",IF($E170&lt;CRM_Dashboard!$B$3,"Overdue",IF($E170=CRM_Dashboard!$B$3,"Due Today","Upcoming"))))</f>
        <v>Overdue</v>
      </c>
      <c r="I170" s="5" t="n">
        <f aca="false">COUNTIF(Interaction_Log!$B$2:$B$3000,$A170)</f>
        <v>1</v>
      </c>
      <c r="J170" s="5" t="str">
        <f aca="false">IF(COUNTIFS(Interaction_Log!$B$2:$B$3000,$A170,Interaction_Log!$E$2:$E$3000,"Details Sent")&gt;0,"Yes","No")</f>
        <v>Yes</v>
      </c>
      <c r="K170" s="2" t="str">
        <f aca="false">IF(AND(COUNTIFS(Interaction_Log!$B$2:$B$3000,$A170,Interaction_Log!$E$2:$E$3000,"Paid")&gt;0,$C170&lt;&gt;"Paid"),"Paid then re-opened","")</f>
        <v/>
      </c>
    </row>
    <row r="171" customFormat="false" ht="15" hidden="false" customHeight="false" outlineLevel="0" collapsed="false">
      <c r="A171" s="2" t="s">
        <v>688</v>
      </c>
      <c r="B171" s="2" t="str">
        <f aca="false">IFERROR(INDEX(Lead_Master!$B$2:$B$1000,MATCH($A171,Lead_Master!$A$2:$A$1000,0)),"")</f>
        <v>Tanya Rathore</v>
      </c>
      <c r="C171" s="2" t="str">
        <f aca="false">IFERROR(LOOKUP(2,1/(Interaction_Log!$B$2:$B$3000=$A171),Interaction_Log!$E$2:$E$3000),"No contact")</f>
        <v>Call Back Later</v>
      </c>
      <c r="D171" s="5" t="str">
        <f aca="false">IFERROR(INDEX(Lists!$B$2:$B$12,MATCH($C171,Lists!$A$2:$A$12,0)),"Unmapped")</f>
        <v>Pending</v>
      </c>
      <c r="E171" s="4" t="n">
        <f aca="false">IFERROR(LOOKUP(2,1/((Interaction_Log!$B$2:$B$3000=$A171)*(Interaction_Log!$G$2:$G$3000&lt;&gt;"")),Interaction_Log!$G$2:$G$3000),"")</f>
        <v>46221</v>
      </c>
      <c r="F171" s="5" t="str">
        <f aca="false">IFERROR(INDEX(Lists!$C$2:$C$12,MATCH($C171,Lists!$A$2:$A$12,0)),"")</f>
        <v>Medium</v>
      </c>
      <c r="G171" s="5" t="str">
        <f aca="false">IFERROR(INDEX(Lists!$D$2:$D$12,MATCH($C171,Lists!$A$2:$A$12,0)),"")</f>
        <v>Call</v>
      </c>
      <c r="H171" s="5" t="str">
        <f aca="false">IF(OR($D171="Converted",$D171="Closed"),"—",IF($E171="","Not Scheduled",IF($E171&lt;CRM_Dashboard!$B$3,"Overdue",IF($E171=CRM_Dashboard!$B$3,"Due Today","Upcoming"))))</f>
        <v>Overdue</v>
      </c>
      <c r="I171" s="5" t="n">
        <f aca="false">COUNTIF(Interaction_Log!$B$2:$B$3000,$A171)</f>
        <v>2</v>
      </c>
      <c r="J171" s="5" t="str">
        <f aca="false">IF(COUNTIFS(Interaction_Log!$B$2:$B$3000,$A171,Interaction_Log!$E$2:$E$3000,"Details Sent")&gt;0,"Yes","No")</f>
        <v>Yes</v>
      </c>
      <c r="K171" s="2" t="str">
        <f aca="false">IF(AND(COUNTIFS(Interaction_Log!$B$2:$B$3000,$A171,Interaction_Log!$E$2:$E$3000,"Paid")&gt;0,$C171&lt;&gt;"Paid"),"Paid then re-opened","")</f>
        <v/>
      </c>
    </row>
    <row r="172" customFormat="false" ht="15" hidden="false" customHeight="false" outlineLevel="0" collapsed="false">
      <c r="A172" s="2" t="s">
        <v>692</v>
      </c>
      <c r="B172" s="2" t="str">
        <f aca="false">IFERROR(INDEX(Lead_Master!$B$2:$B$1000,MATCH($A172,Lead_Master!$A$2:$A$1000,0)),"")</f>
        <v>Vivek Pandey</v>
      </c>
      <c r="C172" s="2" t="str">
        <f aca="false">IFERROR(LOOKUP(2,1/(Interaction_Log!$B$2:$B$3000=$A172),Interaction_Log!$E$2:$E$3000),"No contact")</f>
        <v>Switch Off</v>
      </c>
      <c r="D172" s="5" t="str">
        <f aca="false">IFERROR(INDEX(Lists!$B$2:$B$12,MATCH($C172,Lists!$A$2:$A$12,0)),"Unmapped")</f>
        <v>Pending</v>
      </c>
      <c r="E172" s="4" t="str">
        <f aca="false">IFERROR(LOOKUP(2,1/((Interaction_Log!$B$2:$B$3000=$A172)*(Interaction_Log!$G$2:$G$3000&lt;&gt;"")),Interaction_Log!$G$2:$G$3000),"")</f>
        <v/>
      </c>
      <c r="F172" s="5" t="str">
        <f aca="false">IFERROR(INDEX(Lists!$C$2:$C$12,MATCH($C172,Lists!$A$2:$A$12,0)),"")</f>
        <v>Low</v>
      </c>
      <c r="G172" s="5" t="str">
        <f aca="false">IFERROR(INDEX(Lists!$D$2:$D$12,MATCH($C172,Lists!$A$2:$A$12,0)),"")</f>
        <v>Retry</v>
      </c>
      <c r="H172" s="5" t="str">
        <f aca="false">IF(OR($D172="Converted",$D172="Closed"),"—",IF($E172="","Not Scheduled",IF($E172&lt;CRM_Dashboard!$B$3,"Overdue",IF($E172=CRM_Dashboard!$B$3,"Due Today","Upcoming"))))</f>
        <v>Not Scheduled</v>
      </c>
      <c r="I172" s="5" t="n">
        <f aca="false">COUNTIF(Interaction_Log!$B$2:$B$3000,$A172)</f>
        <v>4</v>
      </c>
      <c r="J172" s="5" t="str">
        <f aca="false">IF(COUNTIFS(Interaction_Log!$B$2:$B$3000,$A172,Interaction_Log!$E$2:$E$3000,"Details Sent")&gt;0,"Yes","No")</f>
        <v>No</v>
      </c>
      <c r="K172" s="2" t="str">
        <f aca="false">IF(AND(COUNTIFS(Interaction_Log!$B$2:$B$3000,$A172,Interaction_Log!$E$2:$E$3000,"Paid")&gt;0,$C172&lt;&gt;"Paid"),"Paid then re-opened","")</f>
        <v/>
      </c>
    </row>
    <row r="173" customFormat="false" ht="15" hidden="false" customHeight="false" outlineLevel="0" collapsed="false">
      <c r="A173" s="2" t="s">
        <v>695</v>
      </c>
      <c r="B173" s="2" t="str">
        <f aca="false">IFERROR(INDEX(Lead_Master!$B$2:$B$1000,MATCH($A173,Lead_Master!$A$2:$A$1000,0)),"")</f>
        <v>Sahil Pandey</v>
      </c>
      <c r="C173" s="2" t="str">
        <f aca="false">IFERROR(LOOKUP(2,1/(Interaction_Log!$B$2:$B$3000=$A173),Interaction_Log!$E$2:$E$3000),"No contact")</f>
        <v>Details Sent</v>
      </c>
      <c r="D173" s="5" t="str">
        <f aca="false">IFERROR(INDEX(Lists!$B$2:$B$12,MATCH($C173,Lists!$A$2:$A$12,0)),"Unmapped")</f>
        <v>Follow Up</v>
      </c>
      <c r="E173" s="4" t="n">
        <f aca="false">IFERROR(LOOKUP(2,1/((Interaction_Log!$B$2:$B$3000=$A173)*(Interaction_Log!$G$2:$G$3000&lt;&gt;"")),Interaction_Log!$G$2:$G$3000),"")</f>
        <v>46248</v>
      </c>
      <c r="F173" s="5" t="str">
        <f aca="false">IFERROR(INDEX(Lists!$C$2:$C$12,MATCH($C173,Lists!$A$2:$A$12,0)),"")</f>
        <v>High</v>
      </c>
      <c r="G173" s="5" t="str">
        <f aca="false">IFERROR(INDEX(Lists!$D$2:$D$12,MATCH($C173,Lists!$A$2:$A$12,0)),"")</f>
        <v>Call</v>
      </c>
      <c r="H173" s="5" t="str">
        <f aca="false">IF(OR($D173="Converted",$D173="Closed"),"—",IF($E173="","Not Scheduled",IF($E173&lt;CRM_Dashboard!$B$3,"Overdue",IF($E173=CRM_Dashboard!$B$3,"Due Today","Upcoming"))))</f>
        <v>Overdue</v>
      </c>
      <c r="I173" s="5" t="n">
        <f aca="false">COUNTIF(Interaction_Log!$B$2:$B$3000,$A173)</f>
        <v>4</v>
      </c>
      <c r="J173" s="5" t="str">
        <f aca="false">IF(COUNTIFS(Interaction_Log!$B$2:$B$3000,$A173,Interaction_Log!$E$2:$E$3000,"Details Sent")&gt;0,"Yes","No")</f>
        <v>Yes</v>
      </c>
      <c r="K173" s="2" t="str">
        <f aca="false">IF(AND(COUNTIFS(Interaction_Log!$B$2:$B$3000,$A173,Interaction_Log!$E$2:$E$3000,"Paid")&gt;0,$C173&lt;&gt;"Paid"),"Paid then re-opened","")</f>
        <v/>
      </c>
    </row>
    <row r="174" customFormat="false" ht="15" hidden="false" customHeight="false" outlineLevel="0" collapsed="false">
      <c r="A174" s="2" t="s">
        <v>699</v>
      </c>
      <c r="B174" s="2" t="str">
        <f aca="false">IFERROR(INDEX(Lead_Master!$B$2:$B$1000,MATCH($A174,Lead_Master!$A$2:$A$1000,0)),"")</f>
        <v>Pooja Pandey</v>
      </c>
      <c r="C174" s="2" t="str">
        <f aca="false">IFERROR(LOOKUP(2,1/(Interaction_Log!$B$2:$B$3000=$A174),Interaction_Log!$E$2:$E$3000),"No contact")</f>
        <v>DNP</v>
      </c>
      <c r="D174" s="5" t="str">
        <f aca="false">IFERROR(INDEX(Lists!$B$2:$B$12,MATCH($C174,Lists!$A$2:$A$12,0)),"Unmapped")</f>
        <v>Pending</v>
      </c>
      <c r="E174" s="4" t="str">
        <f aca="false">IFERROR(LOOKUP(2,1/((Interaction_Log!$B$2:$B$3000=$A174)*(Interaction_Log!$G$2:$G$3000&lt;&gt;"")),Interaction_Log!$G$2:$G$3000),"")</f>
        <v/>
      </c>
      <c r="F174" s="5" t="str">
        <f aca="false">IFERROR(INDEX(Lists!$C$2:$C$12,MATCH($C174,Lists!$A$2:$A$12,0)),"")</f>
        <v>Low</v>
      </c>
      <c r="G174" s="5" t="str">
        <f aca="false">IFERROR(INDEX(Lists!$D$2:$D$12,MATCH($C174,Lists!$A$2:$A$12,0)),"")</f>
        <v>Retry</v>
      </c>
      <c r="H174" s="5" t="str">
        <f aca="false">IF(OR($D174="Converted",$D174="Closed"),"—",IF($E174="","Not Scheduled",IF($E174&lt;CRM_Dashboard!$B$3,"Overdue",IF($E174=CRM_Dashboard!$B$3,"Due Today","Upcoming"))))</f>
        <v>Not Scheduled</v>
      </c>
      <c r="I174" s="5" t="n">
        <f aca="false">COUNTIF(Interaction_Log!$B$2:$B$3000,$A174)</f>
        <v>2</v>
      </c>
      <c r="J174" s="5" t="str">
        <f aca="false">IF(COUNTIFS(Interaction_Log!$B$2:$B$3000,$A174,Interaction_Log!$E$2:$E$3000,"Details Sent")&gt;0,"Yes","No")</f>
        <v>Yes</v>
      </c>
      <c r="K174" s="2" t="str">
        <f aca="false">IF(AND(COUNTIFS(Interaction_Log!$B$2:$B$3000,$A174,Interaction_Log!$E$2:$E$3000,"Paid")&gt;0,$C174&lt;&gt;"Paid"),"Paid then re-opened","")</f>
        <v/>
      </c>
    </row>
    <row r="175" customFormat="false" ht="15" hidden="false" customHeight="false" outlineLevel="0" collapsed="false">
      <c r="A175" s="2" t="s">
        <v>703</v>
      </c>
      <c r="B175" s="2" t="str">
        <f aca="false">IFERROR(INDEX(Lead_Master!$B$2:$B$1000,MATCH($A175,Lead_Master!$A$2:$A$1000,0)),"")</f>
        <v>Aditya Kumar</v>
      </c>
      <c r="C175" s="2" t="str">
        <f aca="false">IFERROR(LOOKUP(2,1/(Interaction_Log!$B$2:$B$3000=$A175),Interaction_Log!$E$2:$E$3000),"No contact")</f>
        <v>Switch Off</v>
      </c>
      <c r="D175" s="5" t="str">
        <f aca="false">IFERROR(INDEX(Lists!$B$2:$B$12,MATCH($C175,Lists!$A$2:$A$12,0)),"Unmapped")</f>
        <v>Pending</v>
      </c>
      <c r="E175" s="4" t="str">
        <f aca="false">IFERROR(LOOKUP(2,1/((Interaction_Log!$B$2:$B$3000=$A175)*(Interaction_Log!$G$2:$G$3000&lt;&gt;"")),Interaction_Log!$G$2:$G$3000),"")</f>
        <v/>
      </c>
      <c r="F175" s="5" t="str">
        <f aca="false">IFERROR(INDEX(Lists!$C$2:$C$12,MATCH($C175,Lists!$A$2:$A$12,0)),"")</f>
        <v>Low</v>
      </c>
      <c r="G175" s="5" t="str">
        <f aca="false">IFERROR(INDEX(Lists!$D$2:$D$12,MATCH($C175,Lists!$A$2:$A$12,0)),"")</f>
        <v>Retry</v>
      </c>
      <c r="H175" s="5" t="str">
        <f aca="false">IF(OR($D175="Converted",$D175="Closed"),"—",IF($E175="","Not Scheduled",IF($E175&lt;CRM_Dashboard!$B$3,"Overdue",IF($E175=CRM_Dashboard!$B$3,"Due Today","Upcoming"))))</f>
        <v>Not Scheduled</v>
      </c>
      <c r="I175" s="5" t="n">
        <f aca="false">COUNTIF(Interaction_Log!$B$2:$B$3000,$A175)</f>
        <v>1</v>
      </c>
      <c r="J175" s="5" t="str">
        <f aca="false">IF(COUNTIFS(Interaction_Log!$B$2:$B$3000,$A175,Interaction_Log!$E$2:$E$3000,"Details Sent")&gt;0,"Yes","No")</f>
        <v>No</v>
      </c>
      <c r="K175" s="2" t="str">
        <f aca="false">IF(AND(COUNTIFS(Interaction_Log!$B$2:$B$3000,$A175,Interaction_Log!$E$2:$E$3000,"Paid")&gt;0,$C175&lt;&gt;"Paid"),"Paid then re-opened","")</f>
        <v/>
      </c>
    </row>
    <row r="176" customFormat="false" ht="15" hidden="false" customHeight="false" outlineLevel="0" collapsed="false">
      <c r="A176" s="2" t="s">
        <v>706</v>
      </c>
      <c r="B176" s="2" t="str">
        <f aca="false">IFERROR(INDEX(Lead_Master!$B$2:$B$1000,MATCH($A176,Lead_Master!$A$2:$A$1000,0)),"")</f>
        <v>Rohan Srivastava</v>
      </c>
      <c r="C176" s="2" t="str">
        <f aca="false">IFERROR(LOOKUP(2,1/(Interaction_Log!$B$2:$B$3000=$A176),Interaction_Log!$E$2:$E$3000),"No contact")</f>
        <v>Call Cut</v>
      </c>
      <c r="D176" s="5" t="str">
        <f aca="false">IFERROR(INDEX(Lists!$B$2:$B$12,MATCH($C176,Lists!$A$2:$A$12,0)),"Unmapped")</f>
        <v>Pending</v>
      </c>
      <c r="E176" s="4" t="str">
        <f aca="false">IFERROR(LOOKUP(2,1/((Interaction_Log!$B$2:$B$3000=$A176)*(Interaction_Log!$G$2:$G$3000&lt;&gt;"")),Interaction_Log!$G$2:$G$3000),"")</f>
        <v/>
      </c>
      <c r="F176" s="5" t="str">
        <f aca="false">IFERROR(INDEX(Lists!$C$2:$C$12,MATCH($C176,Lists!$A$2:$A$12,0)),"")</f>
        <v>Medium</v>
      </c>
      <c r="G176" s="5" t="str">
        <f aca="false">IFERROR(INDEX(Lists!$D$2:$D$12,MATCH($C176,Lists!$A$2:$A$12,0)),"")</f>
        <v>Retry</v>
      </c>
      <c r="H176" s="5" t="str">
        <f aca="false">IF(OR($D176="Converted",$D176="Closed"),"—",IF($E176="","Not Scheduled",IF($E176&lt;CRM_Dashboard!$B$3,"Overdue",IF($E176=CRM_Dashboard!$B$3,"Due Today","Upcoming"))))</f>
        <v>Not Scheduled</v>
      </c>
      <c r="I176" s="5" t="n">
        <f aca="false">COUNTIF(Interaction_Log!$B$2:$B$3000,$A176)</f>
        <v>2</v>
      </c>
      <c r="J176" s="5" t="str">
        <f aca="false">IF(COUNTIFS(Interaction_Log!$B$2:$B$3000,$A176,Interaction_Log!$E$2:$E$3000,"Details Sent")&gt;0,"Yes","No")</f>
        <v>No</v>
      </c>
      <c r="K176" s="2" t="str">
        <f aca="false">IF(AND(COUNTIFS(Interaction_Log!$B$2:$B$3000,$A176,Interaction_Log!$E$2:$E$3000,"Paid")&gt;0,$C176&lt;&gt;"Paid"),"Paid then re-opened","")</f>
        <v>Paid then re-opened</v>
      </c>
    </row>
    <row r="177" customFormat="false" ht="15" hidden="false" customHeight="false" outlineLevel="0" collapsed="false">
      <c r="A177" s="2" t="s">
        <v>710</v>
      </c>
      <c r="B177" s="2" t="str">
        <f aca="false">IFERROR(INDEX(Lead_Master!$B$2:$B$1000,MATCH($A177,Lead_Master!$A$2:$A$1000,0)),"")</f>
        <v>Tanya Kumar</v>
      </c>
      <c r="C177" s="2" t="str">
        <f aca="false">IFERROR(LOOKUP(2,1/(Interaction_Log!$B$2:$B$3000=$A177),Interaction_Log!$E$2:$E$3000),"No contact")</f>
        <v>Details Sent</v>
      </c>
      <c r="D177" s="5" t="str">
        <f aca="false">IFERROR(INDEX(Lists!$B$2:$B$12,MATCH($C177,Lists!$A$2:$A$12,0)),"Unmapped")</f>
        <v>Follow Up</v>
      </c>
      <c r="E177" s="4" t="n">
        <f aca="false">IFERROR(LOOKUP(2,1/((Interaction_Log!$B$2:$B$3000=$A177)*(Interaction_Log!$G$2:$G$3000&lt;&gt;"")),Interaction_Log!$G$2:$G$3000),"")</f>
        <v>46254</v>
      </c>
      <c r="F177" s="5" t="str">
        <f aca="false">IFERROR(INDEX(Lists!$C$2:$C$12,MATCH($C177,Lists!$A$2:$A$12,0)),"")</f>
        <v>High</v>
      </c>
      <c r="G177" s="5" t="str">
        <f aca="false">IFERROR(INDEX(Lists!$D$2:$D$12,MATCH($C177,Lists!$A$2:$A$12,0)),"")</f>
        <v>Call</v>
      </c>
      <c r="H177" s="5" t="str">
        <f aca="false">IF(OR($D177="Converted",$D177="Closed"),"—",IF($E177="","Not Scheduled",IF($E177&lt;CRM_Dashboard!$B$3,"Overdue",IF($E177=CRM_Dashboard!$B$3,"Due Today","Upcoming"))))</f>
        <v>Overdue</v>
      </c>
      <c r="I177" s="5" t="n">
        <f aca="false">COUNTIF(Interaction_Log!$B$2:$B$3000,$A177)</f>
        <v>4</v>
      </c>
      <c r="J177" s="5" t="str">
        <f aca="false">IF(COUNTIFS(Interaction_Log!$B$2:$B$3000,$A177,Interaction_Log!$E$2:$E$3000,"Details Sent")&gt;0,"Yes","No")</f>
        <v>Yes</v>
      </c>
      <c r="K177" s="2" t="str">
        <f aca="false">IF(AND(COUNTIFS(Interaction_Log!$B$2:$B$3000,$A177,Interaction_Log!$E$2:$E$3000,"Paid")&gt;0,$C177&lt;&gt;"Paid"),"Paid then re-opened","")</f>
        <v/>
      </c>
    </row>
    <row r="178" customFormat="false" ht="15" hidden="false" customHeight="false" outlineLevel="0" collapsed="false">
      <c r="A178" s="2" t="s">
        <v>713</v>
      </c>
      <c r="B178" s="2" t="str">
        <f aca="false">IFERROR(INDEX(Lead_Master!$B$2:$B$1000,MATCH($A178,Lead_Master!$A$2:$A$1000,0)),"")</f>
        <v>Pooja Sharma</v>
      </c>
      <c r="C178" s="2" t="str">
        <f aca="false">IFERROR(LOOKUP(2,1/(Interaction_Log!$B$2:$B$3000=$A178),Interaction_Log!$E$2:$E$3000),"No contact")</f>
        <v>DNP</v>
      </c>
      <c r="D178" s="5" t="str">
        <f aca="false">IFERROR(INDEX(Lists!$B$2:$B$12,MATCH($C178,Lists!$A$2:$A$12,0)),"Unmapped")</f>
        <v>Pending</v>
      </c>
      <c r="E178" s="4" t="str">
        <f aca="false">IFERROR(LOOKUP(2,1/((Interaction_Log!$B$2:$B$3000=$A178)*(Interaction_Log!$G$2:$G$3000&lt;&gt;"")),Interaction_Log!$G$2:$G$3000),"")</f>
        <v/>
      </c>
      <c r="F178" s="5" t="str">
        <f aca="false">IFERROR(INDEX(Lists!$C$2:$C$12,MATCH($C178,Lists!$A$2:$A$12,0)),"")</f>
        <v>Low</v>
      </c>
      <c r="G178" s="5" t="str">
        <f aca="false">IFERROR(INDEX(Lists!$D$2:$D$12,MATCH($C178,Lists!$A$2:$A$12,0)),"")</f>
        <v>Retry</v>
      </c>
      <c r="H178" s="5" t="str">
        <f aca="false">IF(OR($D178="Converted",$D178="Closed"),"—",IF($E178="","Not Scheduled",IF($E178&lt;CRM_Dashboard!$B$3,"Overdue",IF($E178=CRM_Dashboard!$B$3,"Due Today","Upcoming"))))</f>
        <v>Not Scheduled</v>
      </c>
      <c r="I178" s="5" t="n">
        <f aca="false">COUNTIF(Interaction_Log!$B$2:$B$3000,$A178)</f>
        <v>2</v>
      </c>
      <c r="J178" s="5" t="str">
        <f aca="false">IF(COUNTIFS(Interaction_Log!$B$2:$B$3000,$A178,Interaction_Log!$E$2:$E$3000,"Details Sent")&gt;0,"Yes","No")</f>
        <v>No</v>
      </c>
      <c r="K178" s="2" t="str">
        <f aca="false">IF(AND(COUNTIFS(Interaction_Log!$B$2:$B$3000,$A178,Interaction_Log!$E$2:$E$3000,"Paid")&gt;0,$C178&lt;&gt;"Paid"),"Paid then re-opened","")</f>
        <v/>
      </c>
    </row>
    <row r="179" customFormat="false" ht="15" hidden="false" customHeight="false" outlineLevel="0" collapsed="false">
      <c r="A179" s="2" t="s">
        <v>717</v>
      </c>
      <c r="B179" s="2" t="str">
        <f aca="false">IFERROR(INDEX(Lead_Master!$B$2:$B$1000,MATCH($A179,Lead_Master!$A$2:$A$1000,0)),"")</f>
        <v>Ayush Gupta</v>
      </c>
      <c r="C179" s="2" t="str">
        <f aca="false">IFERROR(LOOKUP(2,1/(Interaction_Log!$B$2:$B$3000=$A179),Interaction_Log!$E$2:$E$3000),"No contact")</f>
        <v>Follow Up</v>
      </c>
      <c r="D179" s="5" t="str">
        <f aca="false">IFERROR(INDEX(Lists!$B$2:$B$12,MATCH($C179,Lists!$A$2:$A$12,0)),"Unmapped")</f>
        <v>Follow Up</v>
      </c>
      <c r="E179" s="4" t="n">
        <f aca="false">IFERROR(LOOKUP(2,1/((Interaction_Log!$B$2:$B$3000=$A179)*(Interaction_Log!$G$2:$G$3000&lt;&gt;"")),Interaction_Log!$G$2:$G$3000),"")</f>
        <v>46257</v>
      </c>
      <c r="F179" s="5" t="str">
        <f aca="false">IFERROR(INDEX(Lists!$C$2:$C$12,MATCH($C179,Lists!$A$2:$A$12,0)),"")</f>
        <v>High</v>
      </c>
      <c r="G179" s="5" t="str">
        <f aca="false">IFERROR(INDEX(Lists!$D$2:$D$12,MATCH($C179,Lists!$A$2:$A$12,0)),"")</f>
        <v>Call</v>
      </c>
      <c r="H179" s="5" t="str">
        <f aca="false">IF(OR($D179="Converted",$D179="Closed"),"—",IF($E179="","Not Scheduled",IF($E179&lt;CRM_Dashboard!$B$3,"Overdue",IF($E179=CRM_Dashboard!$B$3,"Due Today","Upcoming"))))</f>
        <v>Overdue</v>
      </c>
      <c r="I179" s="5" t="n">
        <f aca="false">COUNTIF(Interaction_Log!$B$2:$B$3000,$A179)</f>
        <v>2</v>
      </c>
      <c r="J179" s="5" t="str">
        <f aca="false">IF(COUNTIFS(Interaction_Log!$B$2:$B$3000,$A179,Interaction_Log!$E$2:$E$3000,"Details Sent")&gt;0,"Yes","No")</f>
        <v>Yes</v>
      </c>
      <c r="K179" s="2" t="str">
        <f aca="false">IF(AND(COUNTIFS(Interaction_Log!$B$2:$B$3000,$A179,Interaction_Log!$E$2:$E$3000,"Paid")&gt;0,$C179&lt;&gt;"Paid"),"Paid then re-opened","")</f>
        <v/>
      </c>
    </row>
    <row r="180" customFormat="false" ht="15" hidden="false" customHeight="false" outlineLevel="0" collapsed="false">
      <c r="A180" s="2" t="s">
        <v>720</v>
      </c>
      <c r="B180" s="2" t="str">
        <f aca="false">IFERROR(INDEX(Lead_Master!$B$2:$B$1000,MATCH($A180,Lead_Master!$A$2:$A$1000,0)),"")</f>
        <v>Sneha Singh</v>
      </c>
      <c r="C180" s="2" t="str">
        <f aca="false">IFERROR(LOOKUP(2,1/(Interaction_Log!$B$2:$B$3000=$A180),Interaction_Log!$E$2:$E$3000),"No contact")</f>
        <v>Call Cut</v>
      </c>
      <c r="D180" s="5" t="str">
        <f aca="false">IFERROR(INDEX(Lists!$B$2:$B$12,MATCH($C180,Lists!$A$2:$A$12,0)),"Unmapped")</f>
        <v>Pending</v>
      </c>
      <c r="E180" s="4" t="str">
        <f aca="false">IFERROR(LOOKUP(2,1/((Interaction_Log!$B$2:$B$3000=$A180)*(Interaction_Log!$G$2:$G$3000&lt;&gt;"")),Interaction_Log!$G$2:$G$3000),"")</f>
        <v/>
      </c>
      <c r="F180" s="5" t="str">
        <f aca="false">IFERROR(INDEX(Lists!$C$2:$C$12,MATCH($C180,Lists!$A$2:$A$12,0)),"")</f>
        <v>Medium</v>
      </c>
      <c r="G180" s="5" t="str">
        <f aca="false">IFERROR(INDEX(Lists!$D$2:$D$12,MATCH($C180,Lists!$A$2:$A$12,0)),"")</f>
        <v>Retry</v>
      </c>
      <c r="H180" s="5" t="str">
        <f aca="false">IF(OR($D180="Converted",$D180="Closed"),"—",IF($E180="","Not Scheduled",IF($E180&lt;CRM_Dashboard!$B$3,"Overdue",IF($E180=CRM_Dashboard!$B$3,"Due Today","Upcoming"))))</f>
        <v>Not Scheduled</v>
      </c>
      <c r="I180" s="5" t="n">
        <f aca="false">COUNTIF(Interaction_Log!$B$2:$B$3000,$A180)</f>
        <v>4</v>
      </c>
      <c r="J180" s="5" t="str">
        <f aca="false">IF(COUNTIFS(Interaction_Log!$B$2:$B$3000,$A180,Interaction_Log!$E$2:$E$3000,"Details Sent")&gt;0,"Yes","No")</f>
        <v>No</v>
      </c>
      <c r="K180" s="2" t="str">
        <f aca="false">IF(AND(COUNTIFS(Interaction_Log!$B$2:$B$3000,$A180,Interaction_Log!$E$2:$E$3000,"Paid")&gt;0,$C180&lt;&gt;"Paid"),"Paid then re-opened","")</f>
        <v/>
      </c>
    </row>
    <row r="181" customFormat="false" ht="15" hidden="false" customHeight="false" outlineLevel="0" collapsed="false">
      <c r="A181" s="2" t="s">
        <v>723</v>
      </c>
      <c r="B181" s="2" t="str">
        <f aca="false">IFERROR(INDEX(Lead_Master!$B$2:$B$1000,MATCH($A181,Lead_Master!$A$2:$A$1000,0)),"")</f>
        <v>Ananya Agarwal</v>
      </c>
      <c r="C181" s="2" t="str">
        <f aca="false">IFERROR(LOOKUP(2,1/(Interaction_Log!$B$2:$B$3000=$A181),Interaction_Log!$E$2:$E$3000),"No contact")</f>
        <v>DNP</v>
      </c>
      <c r="D181" s="5" t="str">
        <f aca="false">IFERROR(INDEX(Lists!$B$2:$B$12,MATCH($C181,Lists!$A$2:$A$12,0)),"Unmapped")</f>
        <v>Pending</v>
      </c>
      <c r="E181" s="4" t="str">
        <f aca="false">IFERROR(LOOKUP(2,1/((Interaction_Log!$B$2:$B$3000=$A181)*(Interaction_Log!$G$2:$G$3000&lt;&gt;"")),Interaction_Log!$G$2:$G$3000),"")</f>
        <v/>
      </c>
      <c r="F181" s="5" t="str">
        <f aca="false">IFERROR(INDEX(Lists!$C$2:$C$12,MATCH($C181,Lists!$A$2:$A$12,0)),"")</f>
        <v>Low</v>
      </c>
      <c r="G181" s="5" t="str">
        <f aca="false">IFERROR(INDEX(Lists!$D$2:$D$12,MATCH($C181,Lists!$A$2:$A$12,0)),"")</f>
        <v>Retry</v>
      </c>
      <c r="H181" s="5" t="str">
        <f aca="false">IF(OR($D181="Converted",$D181="Closed"),"—",IF($E181="","Not Scheduled",IF($E181&lt;CRM_Dashboard!$B$3,"Overdue",IF($E181=CRM_Dashboard!$B$3,"Due Today","Upcoming"))))</f>
        <v>Not Scheduled</v>
      </c>
      <c r="I181" s="5" t="n">
        <f aca="false">COUNTIF(Interaction_Log!$B$2:$B$3000,$A181)</f>
        <v>1</v>
      </c>
      <c r="J181" s="5" t="str">
        <f aca="false">IF(COUNTIFS(Interaction_Log!$B$2:$B$3000,$A181,Interaction_Log!$E$2:$E$3000,"Details Sent")&gt;0,"Yes","No")</f>
        <v>No</v>
      </c>
      <c r="K181" s="2" t="str">
        <f aca="false">IF(AND(COUNTIFS(Interaction_Log!$B$2:$B$3000,$A181,Interaction_Log!$E$2:$E$3000,"Paid")&gt;0,$C181&lt;&gt;"Paid"),"Paid then re-opened","")</f>
        <v/>
      </c>
    </row>
    <row r="182" customFormat="false" ht="15" hidden="false" customHeight="false" outlineLevel="0" collapsed="false">
      <c r="A182" s="2" t="s">
        <v>727</v>
      </c>
      <c r="B182" s="2" t="str">
        <f aca="false">IFERROR(INDEX(Lead_Master!$B$2:$B$1000,MATCH($A182,Lead_Master!$A$2:$A$1000,0)),"")</f>
        <v>Aarav Pandey</v>
      </c>
      <c r="C182" s="2" t="str">
        <f aca="false">IFERROR(LOOKUP(2,1/(Interaction_Log!$B$2:$B$3000=$A182),Interaction_Log!$E$2:$E$3000),"No contact")</f>
        <v>Paid</v>
      </c>
      <c r="D182" s="5" t="str">
        <f aca="false">IFERROR(INDEX(Lists!$B$2:$B$12,MATCH($C182,Lists!$A$2:$A$12,0)),"Unmapped")</f>
        <v>Converted</v>
      </c>
      <c r="E182" s="4" t="str">
        <f aca="false">IFERROR(LOOKUP(2,1/((Interaction_Log!$B$2:$B$3000=$A182)*(Interaction_Log!$G$2:$G$3000&lt;&gt;"")),Interaction_Log!$G$2:$G$3000),"")</f>
        <v/>
      </c>
      <c r="F182" s="5" t="str">
        <f aca="false">IFERROR(INDEX(Lists!$C$2:$C$12,MATCH($C182,Lists!$A$2:$A$12,0)),"")</f>
        <v>—</v>
      </c>
      <c r="G182" s="5" t="str">
        <f aca="false">IFERROR(INDEX(Lists!$D$2:$D$12,MATCH($C182,Lists!$A$2:$A$12,0)),"")</f>
        <v>Onboard</v>
      </c>
      <c r="H182" s="5" t="str">
        <f aca="false">IF(OR($D182="Converted",$D182="Closed"),"—",IF($E182="","Not Scheduled",IF($E182&lt;CRM_Dashboard!$B$3,"Overdue",IF($E182=CRM_Dashboard!$B$3,"Due Today","Upcoming"))))</f>
        <v>—</v>
      </c>
      <c r="I182" s="5" t="n">
        <f aca="false">COUNTIF(Interaction_Log!$B$2:$B$3000,$A182)</f>
        <v>4</v>
      </c>
      <c r="J182" s="5" t="str">
        <f aca="false">IF(COUNTIFS(Interaction_Log!$B$2:$B$3000,$A182,Interaction_Log!$E$2:$E$3000,"Details Sent")&gt;0,"Yes","No")</f>
        <v>Yes</v>
      </c>
      <c r="K182" s="2" t="str">
        <f aca="false">IF(AND(COUNTIFS(Interaction_Log!$B$2:$B$3000,$A182,Interaction_Log!$E$2:$E$3000,"Paid")&gt;0,$C182&lt;&gt;"Paid"),"Paid then re-opened","")</f>
        <v/>
      </c>
    </row>
    <row r="183" customFormat="false" ht="15" hidden="false" customHeight="false" outlineLevel="0" collapsed="false">
      <c r="A183" s="2" t="s">
        <v>731</v>
      </c>
      <c r="B183" s="2" t="str">
        <f aca="false">IFERROR(INDEX(Lead_Master!$B$2:$B$1000,MATCH($A183,Lead_Master!$A$2:$A$1000,0)),"")</f>
        <v>Harsh Verma</v>
      </c>
      <c r="C183" s="2" t="str">
        <f aca="false">IFERROR(LOOKUP(2,1/(Interaction_Log!$B$2:$B$3000=$A183),Interaction_Log!$E$2:$E$3000),"No contact")</f>
        <v>Follow Up</v>
      </c>
      <c r="D183" s="5" t="str">
        <f aca="false">IFERROR(INDEX(Lists!$B$2:$B$12,MATCH($C183,Lists!$A$2:$A$12,0)),"Unmapped")</f>
        <v>Follow Up</v>
      </c>
      <c r="E183" s="4" t="n">
        <f aca="false">IFERROR(LOOKUP(2,1/((Interaction_Log!$B$2:$B$3000=$A183)*(Interaction_Log!$G$2:$G$3000&lt;&gt;"")),Interaction_Log!$G$2:$G$3000),"")</f>
        <v>46277</v>
      </c>
      <c r="F183" s="5" t="str">
        <f aca="false">IFERROR(INDEX(Lists!$C$2:$C$12,MATCH($C183,Lists!$A$2:$A$12,0)),"")</f>
        <v>High</v>
      </c>
      <c r="G183" s="5" t="str">
        <f aca="false">IFERROR(INDEX(Lists!$D$2:$D$12,MATCH($C183,Lists!$A$2:$A$12,0)),"")</f>
        <v>Call</v>
      </c>
      <c r="H183" s="5" t="str">
        <f aca="false">IF(OR($D183="Converted",$D183="Closed"),"—",IF($E183="","Not Scheduled",IF($E183&lt;CRM_Dashboard!$B$3,"Overdue",IF($E183=CRM_Dashboard!$B$3,"Due Today","Upcoming"))))</f>
        <v>Overdue</v>
      </c>
      <c r="I183" s="5" t="n">
        <f aca="false">COUNTIF(Interaction_Log!$B$2:$B$3000,$A183)</f>
        <v>2</v>
      </c>
      <c r="J183" s="5" t="str">
        <f aca="false">IF(COUNTIFS(Interaction_Log!$B$2:$B$3000,$A183,Interaction_Log!$E$2:$E$3000,"Details Sent")&gt;0,"Yes","No")</f>
        <v>No</v>
      </c>
      <c r="K183" s="2" t="str">
        <f aca="false">IF(AND(COUNTIFS(Interaction_Log!$B$2:$B$3000,$A183,Interaction_Log!$E$2:$E$3000,"Paid")&gt;0,$C183&lt;&gt;"Paid"),"Paid then re-opened","")</f>
        <v/>
      </c>
    </row>
    <row r="184" customFormat="false" ht="15" hidden="false" customHeight="false" outlineLevel="0" collapsed="false">
      <c r="A184" s="2" t="s">
        <v>734</v>
      </c>
      <c r="B184" s="2" t="str">
        <f aca="false">IFERROR(INDEX(Lead_Master!$B$2:$B$1000,MATCH($A184,Lead_Master!$A$2:$A$1000,0)),"")</f>
        <v>Ishita Gupta</v>
      </c>
      <c r="C184" s="2" t="str">
        <f aca="false">IFERROR(LOOKUP(2,1/(Interaction_Log!$B$2:$B$3000=$A184),Interaction_Log!$E$2:$E$3000),"No contact")</f>
        <v>Follow Up</v>
      </c>
      <c r="D184" s="5" t="str">
        <f aca="false">IFERROR(INDEX(Lists!$B$2:$B$12,MATCH($C184,Lists!$A$2:$A$12,0)),"Unmapped")</f>
        <v>Follow Up</v>
      </c>
      <c r="E184" s="4" t="n">
        <f aca="false">IFERROR(LOOKUP(2,1/((Interaction_Log!$B$2:$B$3000=$A184)*(Interaction_Log!$G$2:$G$3000&lt;&gt;"")),Interaction_Log!$G$2:$G$3000),"")</f>
        <v>46243</v>
      </c>
      <c r="F184" s="5" t="str">
        <f aca="false">IFERROR(INDEX(Lists!$C$2:$C$12,MATCH($C184,Lists!$A$2:$A$12,0)),"")</f>
        <v>High</v>
      </c>
      <c r="G184" s="5" t="str">
        <f aca="false">IFERROR(INDEX(Lists!$D$2:$D$12,MATCH($C184,Lists!$A$2:$A$12,0)),"")</f>
        <v>Call</v>
      </c>
      <c r="H184" s="5" t="str">
        <f aca="false">IF(OR($D184="Converted",$D184="Closed"),"—",IF($E184="","Not Scheduled",IF($E184&lt;CRM_Dashboard!$B$3,"Overdue",IF($E184=CRM_Dashboard!$B$3,"Due Today","Upcoming"))))</f>
        <v>Overdue</v>
      </c>
      <c r="I184" s="5" t="n">
        <f aca="false">COUNTIF(Interaction_Log!$B$2:$B$3000,$A184)</f>
        <v>1</v>
      </c>
      <c r="J184" s="5" t="str">
        <f aca="false">IF(COUNTIFS(Interaction_Log!$B$2:$B$3000,$A184,Interaction_Log!$E$2:$E$3000,"Details Sent")&gt;0,"Yes","No")</f>
        <v>No</v>
      </c>
      <c r="K184" s="2" t="str">
        <f aca="false">IF(AND(COUNTIFS(Interaction_Log!$B$2:$B$3000,$A184,Interaction_Log!$E$2:$E$3000,"Paid")&gt;0,$C184&lt;&gt;"Paid"),"Paid then re-opened","")</f>
        <v/>
      </c>
    </row>
    <row r="185" customFormat="false" ht="15" hidden="false" customHeight="false" outlineLevel="0" collapsed="false">
      <c r="A185" s="2" t="s">
        <v>737</v>
      </c>
      <c r="B185" s="2" t="str">
        <f aca="false">IFERROR(INDEX(Lead_Master!$B$2:$B$1000,MATCH($A185,Lead_Master!$A$2:$A$1000,0)),"")</f>
        <v>Shreya Sharma</v>
      </c>
      <c r="C185" s="2" t="str">
        <f aca="false">IFERROR(LOOKUP(2,1/(Interaction_Log!$B$2:$B$3000=$A185),Interaction_Log!$E$2:$E$3000),"No contact")</f>
        <v>Not Reachable</v>
      </c>
      <c r="D185" s="5" t="str">
        <f aca="false">IFERROR(INDEX(Lists!$B$2:$B$12,MATCH($C185,Lists!$A$2:$A$12,0)),"Unmapped")</f>
        <v>Pending</v>
      </c>
      <c r="E185" s="4" t="str">
        <f aca="false">IFERROR(LOOKUP(2,1/((Interaction_Log!$B$2:$B$3000=$A185)*(Interaction_Log!$G$2:$G$3000&lt;&gt;"")),Interaction_Log!$G$2:$G$3000),"")</f>
        <v/>
      </c>
      <c r="F185" s="5" t="str">
        <f aca="false">IFERROR(INDEX(Lists!$C$2:$C$12,MATCH($C185,Lists!$A$2:$A$12,0)),"")</f>
        <v>Low</v>
      </c>
      <c r="G185" s="5" t="str">
        <f aca="false">IFERROR(INDEX(Lists!$D$2:$D$12,MATCH($C185,Lists!$A$2:$A$12,0)),"")</f>
        <v>Retry</v>
      </c>
      <c r="H185" s="5" t="str">
        <f aca="false">IF(OR($D185="Converted",$D185="Closed"),"—",IF($E185="","Not Scheduled",IF($E185&lt;CRM_Dashboard!$B$3,"Overdue",IF($E185=CRM_Dashboard!$B$3,"Due Today","Upcoming"))))</f>
        <v>Not Scheduled</v>
      </c>
      <c r="I185" s="5" t="n">
        <f aca="false">COUNTIF(Interaction_Log!$B$2:$B$3000,$A185)</f>
        <v>2</v>
      </c>
      <c r="J185" s="5" t="str">
        <f aca="false">IF(COUNTIFS(Interaction_Log!$B$2:$B$3000,$A185,Interaction_Log!$E$2:$E$3000,"Details Sent")&gt;0,"Yes","No")</f>
        <v>No</v>
      </c>
      <c r="K185" s="2" t="str">
        <f aca="false">IF(AND(COUNTIFS(Interaction_Log!$B$2:$B$3000,$A185,Interaction_Log!$E$2:$E$3000,"Paid")&gt;0,$C185&lt;&gt;"Paid"),"Paid then re-opened","")</f>
        <v/>
      </c>
    </row>
    <row r="186" customFormat="false" ht="15" hidden="false" customHeight="false" outlineLevel="0" collapsed="false">
      <c r="A186" s="2" t="s">
        <v>741</v>
      </c>
      <c r="B186" s="2" t="str">
        <f aca="false">IFERROR(INDEX(Lead_Master!$B$2:$B$1000,MATCH($A186,Lead_Master!$A$2:$A$1000,0)),"")</f>
        <v>Riya Srivastava</v>
      </c>
      <c r="C186" s="2" t="str">
        <f aca="false">IFERROR(LOOKUP(2,1/(Interaction_Log!$B$2:$B$3000=$A186),Interaction_Log!$E$2:$E$3000),"No contact")</f>
        <v>Call Back Later</v>
      </c>
      <c r="D186" s="5" t="str">
        <f aca="false">IFERROR(INDEX(Lists!$B$2:$B$12,MATCH($C186,Lists!$A$2:$A$12,0)),"Unmapped")</f>
        <v>Pending</v>
      </c>
      <c r="E186" s="4" t="n">
        <f aca="false">IFERROR(LOOKUP(2,1/((Interaction_Log!$B$2:$B$3000=$A186)*(Interaction_Log!$G$2:$G$3000&lt;&gt;"")),Interaction_Log!$G$2:$G$3000),"")</f>
        <v>46293</v>
      </c>
      <c r="F186" s="5" t="str">
        <f aca="false">IFERROR(INDEX(Lists!$C$2:$C$12,MATCH($C186,Lists!$A$2:$A$12,0)),"")</f>
        <v>Medium</v>
      </c>
      <c r="G186" s="5" t="str">
        <f aca="false">IFERROR(INDEX(Lists!$D$2:$D$12,MATCH($C186,Lists!$A$2:$A$12,0)),"")</f>
        <v>Call</v>
      </c>
      <c r="H186" s="5" t="str">
        <f aca="false">IF(OR($D186="Converted",$D186="Closed"),"—",IF($E186="","Not Scheduled",IF($E186&lt;CRM_Dashboard!$B$3,"Overdue",IF($E186=CRM_Dashboard!$B$3,"Due Today","Upcoming"))))</f>
        <v>Overdue</v>
      </c>
      <c r="I186" s="5" t="n">
        <f aca="false">COUNTIF(Interaction_Log!$B$2:$B$3000,$A186)</f>
        <v>4</v>
      </c>
      <c r="J186" s="5" t="str">
        <f aca="false">IF(COUNTIFS(Interaction_Log!$B$2:$B$3000,$A186,Interaction_Log!$E$2:$E$3000,"Details Sent")&gt;0,"Yes","No")</f>
        <v>No</v>
      </c>
      <c r="K186" s="2" t="str">
        <f aca="false">IF(AND(COUNTIFS(Interaction_Log!$B$2:$B$3000,$A186,Interaction_Log!$E$2:$E$3000,"Paid")&gt;0,$C186&lt;&gt;"Paid"),"Paid then re-opened","")</f>
        <v>Paid then re-opened</v>
      </c>
    </row>
    <row r="187" customFormat="false" ht="15" hidden="false" customHeight="false" outlineLevel="0" collapsed="false">
      <c r="A187" s="2" t="s">
        <v>745</v>
      </c>
      <c r="B187" s="2" t="str">
        <f aca="false">IFERROR(INDEX(Lead_Master!$B$2:$B$1000,MATCH($A187,Lead_Master!$A$2:$A$1000,0)),"")</f>
        <v>Harsh Verma</v>
      </c>
      <c r="C187" s="2" t="str">
        <f aca="false">IFERROR(LOOKUP(2,1/(Interaction_Log!$B$2:$B$3000=$A187),Interaction_Log!$E$2:$E$3000),"No contact")</f>
        <v>Follow Up</v>
      </c>
      <c r="D187" s="5" t="str">
        <f aca="false">IFERROR(INDEX(Lists!$B$2:$B$12,MATCH($C187,Lists!$A$2:$A$12,0)),"Unmapped")</f>
        <v>Follow Up</v>
      </c>
      <c r="E187" s="4" t="n">
        <f aca="false">IFERROR(LOOKUP(2,1/((Interaction_Log!$B$2:$B$3000=$A187)*(Interaction_Log!$G$2:$G$3000&lt;&gt;"")),Interaction_Log!$G$2:$G$3000),"")</f>
        <v>46251</v>
      </c>
      <c r="F187" s="5" t="str">
        <f aca="false">IFERROR(INDEX(Lists!$C$2:$C$12,MATCH($C187,Lists!$A$2:$A$12,0)),"")</f>
        <v>High</v>
      </c>
      <c r="G187" s="5" t="str">
        <f aca="false">IFERROR(INDEX(Lists!$D$2:$D$12,MATCH($C187,Lists!$A$2:$A$12,0)),"")</f>
        <v>Call</v>
      </c>
      <c r="H187" s="5" t="str">
        <f aca="false">IF(OR($D187="Converted",$D187="Closed"),"—",IF($E187="","Not Scheduled",IF($E187&lt;CRM_Dashboard!$B$3,"Overdue",IF($E187=CRM_Dashboard!$B$3,"Due Today","Upcoming"))))</f>
        <v>Overdue</v>
      </c>
      <c r="I187" s="5" t="n">
        <f aca="false">COUNTIF(Interaction_Log!$B$2:$B$3000,$A187)</f>
        <v>2</v>
      </c>
      <c r="J187" s="5" t="str">
        <f aca="false">IF(COUNTIFS(Interaction_Log!$B$2:$B$3000,$A187,Interaction_Log!$E$2:$E$3000,"Details Sent")&gt;0,"Yes","No")</f>
        <v>No</v>
      </c>
      <c r="K187" s="2" t="str">
        <f aca="false">IF(AND(COUNTIFS(Interaction_Log!$B$2:$B$3000,$A187,Interaction_Log!$E$2:$E$3000,"Paid")&gt;0,$C187&lt;&gt;"Paid"),"Paid then re-opened","")</f>
        <v/>
      </c>
    </row>
    <row r="188" customFormat="false" ht="15" hidden="false" customHeight="false" outlineLevel="0" collapsed="false">
      <c r="A188" s="2" t="s">
        <v>748</v>
      </c>
      <c r="B188" s="2" t="str">
        <f aca="false">IFERROR(INDEX(Lead_Master!$B$2:$B$1000,MATCH($A188,Lead_Master!$A$2:$A$1000,0)),"")</f>
        <v>Nidhi Agarwal</v>
      </c>
      <c r="C188" s="2" t="str">
        <f aca="false">IFERROR(LOOKUP(2,1/(Interaction_Log!$B$2:$B$3000=$A188),Interaction_Log!$E$2:$E$3000),"No contact")</f>
        <v>DNP</v>
      </c>
      <c r="D188" s="5" t="str">
        <f aca="false">IFERROR(INDEX(Lists!$B$2:$B$12,MATCH($C188,Lists!$A$2:$A$12,0)),"Unmapped")</f>
        <v>Pending</v>
      </c>
      <c r="E188" s="4" t="str">
        <f aca="false">IFERROR(LOOKUP(2,1/((Interaction_Log!$B$2:$B$3000=$A188)*(Interaction_Log!$G$2:$G$3000&lt;&gt;"")),Interaction_Log!$G$2:$G$3000),"")</f>
        <v/>
      </c>
      <c r="F188" s="5" t="str">
        <f aca="false">IFERROR(INDEX(Lists!$C$2:$C$12,MATCH($C188,Lists!$A$2:$A$12,0)),"")</f>
        <v>Low</v>
      </c>
      <c r="G188" s="5" t="str">
        <f aca="false">IFERROR(INDEX(Lists!$D$2:$D$12,MATCH($C188,Lists!$A$2:$A$12,0)),"")</f>
        <v>Retry</v>
      </c>
      <c r="H188" s="5" t="str">
        <f aca="false">IF(OR($D188="Converted",$D188="Closed"),"—",IF($E188="","Not Scheduled",IF($E188&lt;CRM_Dashboard!$B$3,"Overdue",IF($E188=CRM_Dashboard!$B$3,"Due Today","Upcoming"))))</f>
        <v>Not Scheduled</v>
      </c>
      <c r="I188" s="5" t="n">
        <f aca="false">COUNTIF(Interaction_Log!$B$2:$B$3000,$A188)</f>
        <v>1</v>
      </c>
      <c r="J188" s="5" t="str">
        <f aca="false">IF(COUNTIFS(Interaction_Log!$B$2:$B$3000,$A188,Interaction_Log!$E$2:$E$3000,"Details Sent")&gt;0,"Yes","No")</f>
        <v>No</v>
      </c>
      <c r="K188" s="2" t="str">
        <f aca="false">IF(AND(COUNTIFS(Interaction_Log!$B$2:$B$3000,$A188,Interaction_Log!$E$2:$E$3000,"Paid")&gt;0,$C188&lt;&gt;"Paid"),"Paid then re-opened","")</f>
        <v/>
      </c>
    </row>
    <row r="189" customFormat="false" ht="15" hidden="false" customHeight="false" outlineLevel="0" collapsed="false">
      <c r="A189" s="2" t="s">
        <v>752</v>
      </c>
      <c r="B189" s="2" t="str">
        <f aca="false">IFERROR(INDEX(Lead_Master!$B$2:$B$1000,MATCH($A189,Lead_Master!$A$2:$A$1000,0)),"")</f>
        <v>Shreya Kumar</v>
      </c>
      <c r="C189" s="2" t="str">
        <f aca="false">IFERROR(LOOKUP(2,1/(Interaction_Log!$B$2:$B$3000=$A189),Interaction_Log!$E$2:$E$3000),"No contact")</f>
        <v>DNP</v>
      </c>
      <c r="D189" s="5" t="str">
        <f aca="false">IFERROR(INDEX(Lists!$B$2:$B$12,MATCH($C189,Lists!$A$2:$A$12,0)),"Unmapped")</f>
        <v>Pending</v>
      </c>
      <c r="E189" s="4" t="str">
        <f aca="false">IFERROR(LOOKUP(2,1/((Interaction_Log!$B$2:$B$3000=$A189)*(Interaction_Log!$G$2:$G$3000&lt;&gt;"")),Interaction_Log!$G$2:$G$3000),"")</f>
        <v/>
      </c>
      <c r="F189" s="5" t="str">
        <f aca="false">IFERROR(INDEX(Lists!$C$2:$C$12,MATCH($C189,Lists!$A$2:$A$12,0)),"")</f>
        <v>Low</v>
      </c>
      <c r="G189" s="5" t="str">
        <f aca="false">IFERROR(INDEX(Lists!$D$2:$D$12,MATCH($C189,Lists!$A$2:$A$12,0)),"")</f>
        <v>Retry</v>
      </c>
      <c r="H189" s="5" t="str">
        <f aca="false">IF(OR($D189="Converted",$D189="Closed"),"—",IF($E189="","Not Scheduled",IF($E189&lt;CRM_Dashboard!$B$3,"Overdue",IF($E189=CRM_Dashboard!$B$3,"Due Today","Upcoming"))))</f>
        <v>Not Scheduled</v>
      </c>
      <c r="I189" s="5" t="n">
        <f aca="false">COUNTIF(Interaction_Log!$B$2:$B$3000,$A189)</f>
        <v>4</v>
      </c>
      <c r="J189" s="5" t="str">
        <f aca="false">IF(COUNTIFS(Interaction_Log!$B$2:$B$3000,$A189,Interaction_Log!$E$2:$E$3000,"Details Sent")&gt;0,"Yes","No")</f>
        <v>Yes</v>
      </c>
      <c r="K189" s="2" t="str">
        <f aca="false">IF(AND(COUNTIFS(Interaction_Log!$B$2:$B$3000,$A189,Interaction_Log!$E$2:$E$3000,"Paid")&gt;0,$C189&lt;&gt;"Paid"),"Paid then re-opened","")</f>
        <v/>
      </c>
    </row>
    <row r="190" customFormat="false" ht="15" hidden="false" customHeight="false" outlineLevel="0" collapsed="false">
      <c r="A190" s="2" t="s">
        <v>756</v>
      </c>
      <c r="B190" s="2" t="str">
        <f aca="false">IFERROR(INDEX(Lead_Master!$B$2:$B$1000,MATCH($A190,Lead_Master!$A$2:$A$1000,0)),"")</f>
        <v>Ananya Kumar</v>
      </c>
      <c r="C190" s="2" t="str">
        <f aca="false">IFERROR(LOOKUP(2,1/(Interaction_Log!$B$2:$B$3000=$A190),Interaction_Log!$E$2:$E$3000),"No contact")</f>
        <v>Call Back Later</v>
      </c>
      <c r="D190" s="5" t="str">
        <f aca="false">IFERROR(INDEX(Lists!$B$2:$B$12,MATCH($C190,Lists!$A$2:$A$12,0)),"Unmapped")</f>
        <v>Pending</v>
      </c>
      <c r="E190" s="4" t="n">
        <f aca="false">IFERROR(LOOKUP(2,1/((Interaction_Log!$B$2:$B$3000=$A190)*(Interaction_Log!$G$2:$G$3000&lt;&gt;"")),Interaction_Log!$G$2:$G$3000),"")</f>
        <v>46224</v>
      </c>
      <c r="F190" s="5" t="str">
        <f aca="false">IFERROR(INDEX(Lists!$C$2:$C$12,MATCH($C190,Lists!$A$2:$A$12,0)),"")</f>
        <v>Medium</v>
      </c>
      <c r="G190" s="5" t="str">
        <f aca="false">IFERROR(INDEX(Lists!$D$2:$D$12,MATCH($C190,Lists!$A$2:$A$12,0)),"")</f>
        <v>Call</v>
      </c>
      <c r="H190" s="5" t="str">
        <f aca="false">IF(OR($D190="Converted",$D190="Closed"),"—",IF($E190="","Not Scheduled",IF($E190&lt;CRM_Dashboard!$B$3,"Overdue",IF($E190=CRM_Dashboard!$B$3,"Due Today","Upcoming"))))</f>
        <v>Overdue</v>
      </c>
      <c r="I190" s="5" t="n">
        <f aca="false">COUNTIF(Interaction_Log!$B$2:$B$3000,$A190)</f>
        <v>4</v>
      </c>
      <c r="J190" s="5" t="str">
        <f aca="false">IF(COUNTIFS(Interaction_Log!$B$2:$B$3000,$A190,Interaction_Log!$E$2:$E$3000,"Details Sent")&gt;0,"Yes","No")</f>
        <v>No</v>
      </c>
      <c r="K190" s="2" t="str">
        <f aca="false">IF(AND(COUNTIFS(Interaction_Log!$B$2:$B$3000,$A190,Interaction_Log!$E$2:$E$3000,"Paid")&gt;0,$C190&lt;&gt;"Paid"),"Paid then re-opened","")</f>
        <v/>
      </c>
    </row>
    <row r="191" customFormat="false" ht="15" hidden="false" customHeight="false" outlineLevel="0" collapsed="false">
      <c r="A191" s="2" t="s">
        <v>760</v>
      </c>
      <c r="B191" s="2" t="str">
        <f aca="false">IFERROR(INDEX(Lead_Master!$B$2:$B$1000,MATCH($A191,Lead_Master!$A$2:$A$1000,0)),"")</f>
        <v>Sneha Mehta</v>
      </c>
      <c r="C191" s="2" t="str">
        <f aca="false">IFERROR(LOOKUP(2,1/(Interaction_Log!$B$2:$B$3000=$A191),Interaction_Log!$E$2:$E$3000),"No contact")</f>
        <v>Follow Up</v>
      </c>
      <c r="D191" s="5" t="str">
        <f aca="false">IFERROR(INDEX(Lists!$B$2:$B$12,MATCH($C191,Lists!$A$2:$A$12,0)),"Unmapped")</f>
        <v>Follow Up</v>
      </c>
      <c r="E191" s="4" t="n">
        <f aca="false">IFERROR(LOOKUP(2,1/((Interaction_Log!$B$2:$B$3000=$A191)*(Interaction_Log!$G$2:$G$3000&lt;&gt;"")),Interaction_Log!$G$2:$G$3000),"")</f>
        <v>46268</v>
      </c>
      <c r="F191" s="5" t="str">
        <f aca="false">IFERROR(INDEX(Lists!$C$2:$C$12,MATCH($C191,Lists!$A$2:$A$12,0)),"")</f>
        <v>High</v>
      </c>
      <c r="G191" s="5" t="str">
        <f aca="false">IFERROR(INDEX(Lists!$D$2:$D$12,MATCH($C191,Lists!$A$2:$A$12,0)),"")</f>
        <v>Call</v>
      </c>
      <c r="H191" s="5" t="str">
        <f aca="false">IF(OR($D191="Converted",$D191="Closed"),"—",IF($E191="","Not Scheduled",IF($E191&lt;CRM_Dashboard!$B$3,"Overdue",IF($E191=CRM_Dashboard!$B$3,"Due Today","Upcoming"))))</f>
        <v>Overdue</v>
      </c>
      <c r="I191" s="5" t="n">
        <f aca="false">COUNTIF(Interaction_Log!$B$2:$B$3000,$A191)</f>
        <v>4</v>
      </c>
      <c r="J191" s="5" t="str">
        <f aca="false">IF(COUNTIFS(Interaction_Log!$B$2:$B$3000,$A191,Interaction_Log!$E$2:$E$3000,"Details Sent")&gt;0,"Yes","No")</f>
        <v>Yes</v>
      </c>
      <c r="K191" s="2" t="str">
        <f aca="false">IF(AND(COUNTIFS(Interaction_Log!$B$2:$B$3000,$A191,Interaction_Log!$E$2:$E$3000,"Paid")&gt;0,$C191&lt;&gt;"Paid"),"Paid then re-opened","")</f>
        <v/>
      </c>
    </row>
    <row r="192" customFormat="false" ht="15" hidden="false" customHeight="false" outlineLevel="0" collapsed="false">
      <c r="A192" s="2" t="s">
        <v>764</v>
      </c>
      <c r="B192" s="2" t="str">
        <f aca="false">IFERROR(INDEX(Lead_Master!$B$2:$B$1000,MATCH($A192,Lead_Master!$A$2:$A$1000,0)),"")</f>
        <v>Sakshi Pandey</v>
      </c>
      <c r="C192" s="2" t="str">
        <f aca="false">IFERROR(LOOKUP(2,1/(Interaction_Log!$B$2:$B$3000=$A192),Interaction_Log!$E$2:$E$3000),"No contact")</f>
        <v>DNP</v>
      </c>
      <c r="D192" s="5" t="str">
        <f aca="false">IFERROR(INDEX(Lists!$B$2:$B$12,MATCH($C192,Lists!$A$2:$A$12,0)),"Unmapped")</f>
        <v>Pending</v>
      </c>
      <c r="E192" s="4" t="str">
        <f aca="false">IFERROR(LOOKUP(2,1/((Interaction_Log!$B$2:$B$3000=$A192)*(Interaction_Log!$G$2:$G$3000&lt;&gt;"")),Interaction_Log!$G$2:$G$3000),"")</f>
        <v/>
      </c>
      <c r="F192" s="5" t="str">
        <f aca="false">IFERROR(INDEX(Lists!$C$2:$C$12,MATCH($C192,Lists!$A$2:$A$12,0)),"")</f>
        <v>Low</v>
      </c>
      <c r="G192" s="5" t="str">
        <f aca="false">IFERROR(INDEX(Lists!$D$2:$D$12,MATCH($C192,Lists!$A$2:$A$12,0)),"")</f>
        <v>Retry</v>
      </c>
      <c r="H192" s="5" t="str">
        <f aca="false">IF(OR($D192="Converted",$D192="Closed"),"—",IF($E192="","Not Scheduled",IF($E192&lt;CRM_Dashboard!$B$3,"Overdue",IF($E192=CRM_Dashboard!$B$3,"Due Today","Upcoming"))))</f>
        <v>Not Scheduled</v>
      </c>
      <c r="I192" s="5" t="n">
        <f aca="false">COUNTIF(Interaction_Log!$B$2:$B$3000,$A192)</f>
        <v>4</v>
      </c>
      <c r="J192" s="5" t="str">
        <f aca="false">IF(COUNTIFS(Interaction_Log!$B$2:$B$3000,$A192,Interaction_Log!$E$2:$E$3000,"Details Sent")&gt;0,"Yes","No")</f>
        <v>No</v>
      </c>
      <c r="K192" s="2" t="str">
        <f aca="false">IF(AND(COUNTIFS(Interaction_Log!$B$2:$B$3000,$A192,Interaction_Log!$E$2:$E$3000,"Paid")&gt;0,$C192&lt;&gt;"Paid"),"Paid then re-opened","")</f>
        <v/>
      </c>
    </row>
    <row r="193" customFormat="false" ht="15" hidden="false" customHeight="false" outlineLevel="0" collapsed="false">
      <c r="A193" s="2" t="s">
        <v>767</v>
      </c>
      <c r="B193" s="2" t="str">
        <f aca="false">IFERROR(INDEX(Lead_Master!$B$2:$B$1000,MATCH($A193,Lead_Master!$A$2:$A$1000,0)),"")</f>
        <v>Neha Gupta</v>
      </c>
      <c r="C193" s="2" t="str">
        <f aca="false">IFERROR(LOOKUP(2,1/(Interaction_Log!$B$2:$B$3000=$A193),Interaction_Log!$E$2:$E$3000),"No contact")</f>
        <v>Call Back Later</v>
      </c>
      <c r="D193" s="5" t="str">
        <f aca="false">IFERROR(INDEX(Lists!$B$2:$B$12,MATCH($C193,Lists!$A$2:$A$12,0)),"Unmapped")</f>
        <v>Pending</v>
      </c>
      <c r="E193" s="4" t="n">
        <f aca="false">IFERROR(LOOKUP(2,1/((Interaction_Log!$B$2:$B$3000=$A193)*(Interaction_Log!$G$2:$G$3000&lt;&gt;"")),Interaction_Log!$G$2:$G$3000),"")</f>
        <v>46290</v>
      </c>
      <c r="F193" s="5" t="str">
        <f aca="false">IFERROR(INDEX(Lists!$C$2:$C$12,MATCH($C193,Lists!$A$2:$A$12,0)),"")</f>
        <v>Medium</v>
      </c>
      <c r="G193" s="5" t="str">
        <f aca="false">IFERROR(INDEX(Lists!$D$2:$D$12,MATCH($C193,Lists!$A$2:$A$12,0)),"")</f>
        <v>Call</v>
      </c>
      <c r="H193" s="5" t="str">
        <f aca="false">IF(OR($D193="Converted",$D193="Closed"),"—",IF($E193="","Not Scheduled",IF($E193&lt;CRM_Dashboard!$B$3,"Overdue",IF($E193=CRM_Dashboard!$B$3,"Due Today","Upcoming"))))</f>
        <v>Overdue</v>
      </c>
      <c r="I193" s="5" t="n">
        <f aca="false">COUNTIF(Interaction_Log!$B$2:$B$3000,$A193)</f>
        <v>4</v>
      </c>
      <c r="J193" s="5" t="str">
        <f aca="false">IF(COUNTIFS(Interaction_Log!$B$2:$B$3000,$A193,Interaction_Log!$E$2:$E$3000,"Details Sent")&gt;0,"Yes","No")</f>
        <v>No</v>
      </c>
      <c r="K193" s="2" t="str">
        <f aca="false">IF(AND(COUNTIFS(Interaction_Log!$B$2:$B$3000,$A193,Interaction_Log!$E$2:$E$3000,"Paid")&gt;0,$C193&lt;&gt;"Paid"),"Paid then re-opened","")</f>
        <v/>
      </c>
    </row>
    <row r="194" customFormat="false" ht="15" hidden="false" customHeight="false" outlineLevel="0" collapsed="false">
      <c r="A194" s="2" t="s">
        <v>770</v>
      </c>
      <c r="B194" s="2" t="str">
        <f aca="false">IFERROR(INDEX(Lead_Master!$B$2:$B$1000,MATCH($A194,Lead_Master!$A$2:$A$1000,0)),"")</f>
        <v>Mehak Rathore</v>
      </c>
      <c r="C194" s="2" t="str">
        <f aca="false">IFERROR(LOOKUP(2,1/(Interaction_Log!$B$2:$B$3000=$A194),Interaction_Log!$E$2:$E$3000),"No contact")</f>
        <v>Follow Up</v>
      </c>
      <c r="D194" s="5" t="str">
        <f aca="false">IFERROR(INDEX(Lists!$B$2:$B$12,MATCH($C194,Lists!$A$2:$A$12,0)),"Unmapped")</f>
        <v>Follow Up</v>
      </c>
      <c r="E194" s="4" t="n">
        <f aca="false">IFERROR(LOOKUP(2,1/((Interaction_Log!$B$2:$B$3000=$A194)*(Interaction_Log!$G$2:$G$3000&lt;&gt;"")),Interaction_Log!$G$2:$G$3000),"")</f>
        <v>46295</v>
      </c>
      <c r="F194" s="5" t="str">
        <f aca="false">IFERROR(INDEX(Lists!$C$2:$C$12,MATCH($C194,Lists!$A$2:$A$12,0)),"")</f>
        <v>High</v>
      </c>
      <c r="G194" s="5" t="str">
        <f aca="false">IFERROR(INDEX(Lists!$D$2:$D$12,MATCH($C194,Lists!$A$2:$A$12,0)),"")</f>
        <v>Call</v>
      </c>
      <c r="H194" s="5" t="str">
        <f aca="false">IF(OR($D194="Converted",$D194="Closed"),"—",IF($E194="","Not Scheduled",IF($E194&lt;CRM_Dashboard!$B$3,"Overdue",IF($E194=CRM_Dashboard!$B$3,"Due Today","Upcoming"))))</f>
        <v>Upcoming</v>
      </c>
      <c r="I194" s="5" t="n">
        <f aca="false">COUNTIF(Interaction_Log!$B$2:$B$3000,$A194)</f>
        <v>2</v>
      </c>
      <c r="J194" s="5" t="str">
        <f aca="false">IF(COUNTIFS(Interaction_Log!$B$2:$B$3000,$A194,Interaction_Log!$E$2:$E$3000,"Details Sent")&gt;0,"Yes","No")</f>
        <v>No</v>
      </c>
      <c r="K194" s="2" t="str">
        <f aca="false">IF(AND(COUNTIFS(Interaction_Log!$B$2:$B$3000,$A194,Interaction_Log!$E$2:$E$3000,"Paid")&gt;0,$C194&lt;&gt;"Paid"),"Paid then re-opened","")</f>
        <v/>
      </c>
    </row>
    <row r="195" customFormat="false" ht="15" hidden="false" customHeight="false" outlineLevel="0" collapsed="false">
      <c r="A195" s="2" t="s">
        <v>774</v>
      </c>
      <c r="B195" s="2" t="str">
        <f aca="false">IFERROR(INDEX(Lead_Master!$B$2:$B$1000,MATCH($A195,Lead_Master!$A$2:$A$1000,0)),"")</f>
        <v>Sakshi Sinha</v>
      </c>
      <c r="C195" s="2" t="str">
        <f aca="false">IFERROR(LOOKUP(2,1/(Interaction_Log!$B$2:$B$3000=$A195),Interaction_Log!$E$2:$E$3000),"No contact")</f>
        <v>Details Sent</v>
      </c>
      <c r="D195" s="5" t="str">
        <f aca="false">IFERROR(INDEX(Lists!$B$2:$B$12,MATCH($C195,Lists!$A$2:$A$12,0)),"Unmapped")</f>
        <v>Follow Up</v>
      </c>
      <c r="E195" s="4" t="n">
        <f aca="false">IFERROR(LOOKUP(2,1/((Interaction_Log!$B$2:$B$3000=$A195)*(Interaction_Log!$G$2:$G$3000&lt;&gt;"")),Interaction_Log!$G$2:$G$3000),"")</f>
        <v>46245</v>
      </c>
      <c r="F195" s="5" t="str">
        <f aca="false">IFERROR(INDEX(Lists!$C$2:$C$12,MATCH($C195,Lists!$A$2:$A$12,0)),"")</f>
        <v>High</v>
      </c>
      <c r="G195" s="5" t="str">
        <f aca="false">IFERROR(INDEX(Lists!$D$2:$D$12,MATCH($C195,Lists!$A$2:$A$12,0)),"")</f>
        <v>Call</v>
      </c>
      <c r="H195" s="5" t="str">
        <f aca="false">IF(OR($D195="Converted",$D195="Closed"),"—",IF($E195="","Not Scheduled",IF($E195&lt;CRM_Dashboard!$B$3,"Overdue",IF($E195=CRM_Dashboard!$B$3,"Due Today","Upcoming"))))</f>
        <v>Overdue</v>
      </c>
      <c r="I195" s="5" t="n">
        <f aca="false">COUNTIF(Interaction_Log!$B$2:$B$3000,$A195)</f>
        <v>3</v>
      </c>
      <c r="J195" s="5" t="str">
        <f aca="false">IF(COUNTIFS(Interaction_Log!$B$2:$B$3000,$A195,Interaction_Log!$E$2:$E$3000,"Details Sent")&gt;0,"Yes","No")</f>
        <v>Yes</v>
      </c>
      <c r="K195" s="2" t="str">
        <f aca="false">IF(AND(COUNTIFS(Interaction_Log!$B$2:$B$3000,$A195,Interaction_Log!$E$2:$E$3000,"Paid")&gt;0,$C195&lt;&gt;"Paid"),"Paid then re-opened","")</f>
        <v/>
      </c>
    </row>
    <row r="196" customFormat="false" ht="15" hidden="false" customHeight="false" outlineLevel="0" collapsed="false">
      <c r="A196" s="2" t="s">
        <v>778</v>
      </c>
      <c r="B196" s="2" t="str">
        <f aca="false">IFERROR(INDEX(Lead_Master!$B$2:$B$1000,MATCH($A196,Lead_Master!$A$2:$A$1000,0)),"")</f>
        <v>Yash Mishra</v>
      </c>
      <c r="C196" s="2" t="str">
        <f aca="false">IFERROR(LOOKUP(2,1/(Interaction_Log!$B$2:$B$3000=$A196),Interaction_Log!$E$2:$E$3000),"No contact")</f>
        <v>Not Reachable</v>
      </c>
      <c r="D196" s="5" t="str">
        <f aca="false">IFERROR(INDEX(Lists!$B$2:$B$12,MATCH($C196,Lists!$A$2:$A$12,0)),"Unmapped")</f>
        <v>Pending</v>
      </c>
      <c r="E196" s="4" t="str">
        <f aca="false">IFERROR(LOOKUP(2,1/((Interaction_Log!$B$2:$B$3000=$A196)*(Interaction_Log!$G$2:$G$3000&lt;&gt;"")),Interaction_Log!$G$2:$G$3000),"")</f>
        <v/>
      </c>
      <c r="F196" s="5" t="str">
        <f aca="false">IFERROR(INDEX(Lists!$C$2:$C$12,MATCH($C196,Lists!$A$2:$A$12,0)),"")</f>
        <v>Low</v>
      </c>
      <c r="G196" s="5" t="str">
        <f aca="false">IFERROR(INDEX(Lists!$D$2:$D$12,MATCH($C196,Lists!$A$2:$A$12,0)),"")</f>
        <v>Retry</v>
      </c>
      <c r="H196" s="5" t="str">
        <f aca="false">IF(OR($D196="Converted",$D196="Closed"),"—",IF($E196="","Not Scheduled",IF($E196&lt;CRM_Dashboard!$B$3,"Overdue",IF($E196=CRM_Dashboard!$B$3,"Due Today","Upcoming"))))</f>
        <v>Not Scheduled</v>
      </c>
      <c r="I196" s="5" t="n">
        <f aca="false">COUNTIF(Interaction_Log!$B$2:$B$3000,$A196)</f>
        <v>4</v>
      </c>
      <c r="J196" s="5" t="str">
        <f aca="false">IF(COUNTIFS(Interaction_Log!$B$2:$B$3000,$A196,Interaction_Log!$E$2:$E$3000,"Details Sent")&gt;0,"Yes","No")</f>
        <v>No</v>
      </c>
      <c r="K196" s="2" t="str">
        <f aca="false">IF(AND(COUNTIFS(Interaction_Log!$B$2:$B$3000,$A196,Interaction_Log!$E$2:$E$3000,"Paid")&gt;0,$C196&lt;&gt;"Paid"),"Paid then re-opened","")</f>
        <v/>
      </c>
    </row>
    <row r="197" customFormat="false" ht="15" hidden="false" customHeight="false" outlineLevel="0" collapsed="false">
      <c r="A197" s="2" t="s">
        <v>781</v>
      </c>
      <c r="B197" s="2" t="str">
        <f aca="false">IFERROR(INDEX(Lead_Master!$B$2:$B$1000,MATCH($A197,Lead_Master!$A$2:$A$1000,0)),"")</f>
        <v>Ishita Mehta</v>
      </c>
      <c r="C197" s="2" t="str">
        <f aca="false">IFERROR(LOOKUP(2,1/(Interaction_Log!$B$2:$B$3000=$A197),Interaction_Log!$E$2:$E$3000),"No contact")</f>
        <v>Details Sent</v>
      </c>
      <c r="D197" s="5" t="str">
        <f aca="false">IFERROR(INDEX(Lists!$B$2:$B$12,MATCH($C197,Lists!$A$2:$A$12,0)),"Unmapped")</f>
        <v>Follow Up</v>
      </c>
      <c r="E197" s="4" t="n">
        <f aca="false">IFERROR(LOOKUP(2,1/((Interaction_Log!$B$2:$B$3000=$A197)*(Interaction_Log!$G$2:$G$3000&lt;&gt;"")),Interaction_Log!$G$2:$G$3000),"")</f>
        <v>46262</v>
      </c>
      <c r="F197" s="5" t="str">
        <f aca="false">IFERROR(INDEX(Lists!$C$2:$C$12,MATCH($C197,Lists!$A$2:$A$12,0)),"")</f>
        <v>High</v>
      </c>
      <c r="G197" s="5" t="str">
        <f aca="false">IFERROR(INDEX(Lists!$D$2:$D$12,MATCH($C197,Lists!$A$2:$A$12,0)),"")</f>
        <v>Call</v>
      </c>
      <c r="H197" s="5" t="str">
        <f aca="false">IF(OR($D197="Converted",$D197="Closed"),"—",IF($E197="","Not Scheduled",IF($E197&lt;CRM_Dashboard!$B$3,"Overdue",IF($E197=CRM_Dashboard!$B$3,"Due Today","Upcoming"))))</f>
        <v>Overdue</v>
      </c>
      <c r="I197" s="5" t="n">
        <f aca="false">COUNTIF(Interaction_Log!$B$2:$B$3000,$A197)</f>
        <v>1</v>
      </c>
      <c r="J197" s="5" t="str">
        <f aca="false">IF(COUNTIFS(Interaction_Log!$B$2:$B$3000,$A197,Interaction_Log!$E$2:$E$3000,"Details Sent")&gt;0,"Yes","No")</f>
        <v>Yes</v>
      </c>
      <c r="K197" s="2" t="str">
        <f aca="false">IF(AND(COUNTIFS(Interaction_Log!$B$2:$B$3000,$A197,Interaction_Log!$E$2:$E$3000,"Paid")&gt;0,$C197&lt;&gt;"Paid"),"Paid then re-opened","")</f>
        <v/>
      </c>
    </row>
    <row r="198" customFormat="false" ht="15" hidden="false" customHeight="false" outlineLevel="0" collapsed="false">
      <c r="A198" s="2" t="s">
        <v>784</v>
      </c>
      <c r="B198" s="2" t="str">
        <f aca="false">IFERROR(INDEX(Lead_Master!$B$2:$B$1000,MATCH($A198,Lead_Master!$A$2:$A$1000,0)),"")</f>
        <v>Ishita Srivastava</v>
      </c>
      <c r="C198" s="2" t="str">
        <f aca="false">IFERROR(LOOKUP(2,1/(Interaction_Log!$B$2:$B$3000=$A198),Interaction_Log!$E$2:$E$3000),"No contact")</f>
        <v>DNP</v>
      </c>
      <c r="D198" s="5" t="str">
        <f aca="false">IFERROR(INDEX(Lists!$B$2:$B$12,MATCH($C198,Lists!$A$2:$A$12,0)),"Unmapped")</f>
        <v>Pending</v>
      </c>
      <c r="E198" s="4" t="str">
        <f aca="false">IFERROR(LOOKUP(2,1/((Interaction_Log!$B$2:$B$3000=$A198)*(Interaction_Log!$G$2:$G$3000&lt;&gt;"")),Interaction_Log!$G$2:$G$3000),"")</f>
        <v/>
      </c>
      <c r="F198" s="5" t="str">
        <f aca="false">IFERROR(INDEX(Lists!$C$2:$C$12,MATCH($C198,Lists!$A$2:$A$12,0)),"")</f>
        <v>Low</v>
      </c>
      <c r="G198" s="5" t="str">
        <f aca="false">IFERROR(INDEX(Lists!$D$2:$D$12,MATCH($C198,Lists!$A$2:$A$12,0)),"")</f>
        <v>Retry</v>
      </c>
      <c r="H198" s="5" t="str">
        <f aca="false">IF(OR($D198="Converted",$D198="Closed"),"—",IF($E198="","Not Scheduled",IF($E198&lt;CRM_Dashboard!$B$3,"Overdue",IF($E198=CRM_Dashboard!$B$3,"Due Today","Upcoming"))))</f>
        <v>Not Scheduled</v>
      </c>
      <c r="I198" s="5" t="n">
        <f aca="false">COUNTIF(Interaction_Log!$B$2:$B$3000,$A198)</f>
        <v>1</v>
      </c>
      <c r="J198" s="5" t="str">
        <f aca="false">IF(COUNTIFS(Interaction_Log!$B$2:$B$3000,$A198,Interaction_Log!$E$2:$E$3000,"Details Sent")&gt;0,"Yes","No")</f>
        <v>No</v>
      </c>
      <c r="K198" s="2" t="str">
        <f aca="false">IF(AND(COUNTIFS(Interaction_Log!$B$2:$B$3000,$A198,Interaction_Log!$E$2:$E$3000,"Paid")&gt;0,$C198&lt;&gt;"Paid"),"Paid then re-opened","")</f>
        <v/>
      </c>
    </row>
    <row r="199" customFormat="false" ht="15" hidden="false" customHeight="false" outlineLevel="0" collapsed="false">
      <c r="A199" s="2" t="s">
        <v>788</v>
      </c>
      <c r="B199" s="2" t="str">
        <f aca="false">IFERROR(INDEX(Lead_Master!$B$2:$B$1000,MATCH($A199,Lead_Master!$A$2:$A$1000,0)),"")</f>
        <v>Tanya Patel</v>
      </c>
      <c r="C199" s="2" t="str">
        <f aca="false">IFERROR(LOOKUP(2,1/(Interaction_Log!$B$2:$B$3000=$A199),Interaction_Log!$E$2:$E$3000),"No contact")</f>
        <v>DNP</v>
      </c>
      <c r="D199" s="5" t="str">
        <f aca="false">IFERROR(INDEX(Lists!$B$2:$B$12,MATCH($C199,Lists!$A$2:$A$12,0)),"Unmapped")</f>
        <v>Pending</v>
      </c>
      <c r="E199" s="4" t="str">
        <f aca="false">IFERROR(LOOKUP(2,1/((Interaction_Log!$B$2:$B$3000=$A199)*(Interaction_Log!$G$2:$G$3000&lt;&gt;"")),Interaction_Log!$G$2:$G$3000),"")</f>
        <v/>
      </c>
      <c r="F199" s="5" t="str">
        <f aca="false">IFERROR(INDEX(Lists!$C$2:$C$12,MATCH($C199,Lists!$A$2:$A$12,0)),"")</f>
        <v>Low</v>
      </c>
      <c r="G199" s="5" t="str">
        <f aca="false">IFERROR(INDEX(Lists!$D$2:$D$12,MATCH($C199,Lists!$A$2:$A$12,0)),"")</f>
        <v>Retry</v>
      </c>
      <c r="H199" s="5" t="str">
        <f aca="false">IF(OR($D199="Converted",$D199="Closed"),"—",IF($E199="","Not Scheduled",IF($E199&lt;CRM_Dashboard!$B$3,"Overdue",IF($E199=CRM_Dashboard!$B$3,"Due Today","Upcoming"))))</f>
        <v>Not Scheduled</v>
      </c>
      <c r="I199" s="5" t="n">
        <f aca="false">COUNTIF(Interaction_Log!$B$2:$B$3000,$A199)</f>
        <v>1</v>
      </c>
      <c r="J199" s="5" t="str">
        <f aca="false">IF(COUNTIFS(Interaction_Log!$B$2:$B$3000,$A199,Interaction_Log!$E$2:$E$3000,"Details Sent")&gt;0,"Yes","No")</f>
        <v>No</v>
      </c>
      <c r="K199" s="2" t="str">
        <f aca="false">IF(AND(COUNTIFS(Interaction_Log!$B$2:$B$3000,$A199,Interaction_Log!$E$2:$E$3000,"Paid")&gt;0,$C199&lt;&gt;"Paid"),"Paid then re-opened","")</f>
        <v/>
      </c>
    </row>
    <row r="200" customFormat="false" ht="15" hidden="false" customHeight="false" outlineLevel="0" collapsed="false">
      <c r="A200" s="2" t="s">
        <v>791</v>
      </c>
      <c r="B200" s="2" t="str">
        <f aca="false">IFERROR(INDEX(Lead_Master!$B$2:$B$1000,MATCH($A200,Lead_Master!$A$2:$A$1000,0)),"")</f>
        <v>Kartik Sinha</v>
      </c>
      <c r="C200" s="2" t="str">
        <f aca="false">IFERROR(LOOKUP(2,1/(Interaction_Log!$B$2:$B$3000=$A200),Interaction_Log!$E$2:$E$3000),"No contact")</f>
        <v>DNP</v>
      </c>
      <c r="D200" s="5" t="str">
        <f aca="false">IFERROR(INDEX(Lists!$B$2:$B$12,MATCH($C200,Lists!$A$2:$A$12,0)),"Unmapped")</f>
        <v>Pending</v>
      </c>
      <c r="E200" s="4" t="str">
        <f aca="false">IFERROR(LOOKUP(2,1/((Interaction_Log!$B$2:$B$3000=$A200)*(Interaction_Log!$G$2:$G$3000&lt;&gt;"")),Interaction_Log!$G$2:$G$3000),"")</f>
        <v/>
      </c>
      <c r="F200" s="5" t="str">
        <f aca="false">IFERROR(INDEX(Lists!$C$2:$C$12,MATCH($C200,Lists!$A$2:$A$12,0)),"")</f>
        <v>Low</v>
      </c>
      <c r="G200" s="5" t="str">
        <f aca="false">IFERROR(INDEX(Lists!$D$2:$D$12,MATCH($C200,Lists!$A$2:$A$12,0)),"")</f>
        <v>Retry</v>
      </c>
      <c r="H200" s="5" t="str">
        <f aca="false">IF(OR($D200="Converted",$D200="Closed"),"—",IF($E200="","Not Scheduled",IF($E200&lt;CRM_Dashboard!$B$3,"Overdue",IF($E200=CRM_Dashboard!$B$3,"Due Today","Upcoming"))))</f>
        <v>Not Scheduled</v>
      </c>
      <c r="I200" s="5" t="n">
        <f aca="false">COUNTIF(Interaction_Log!$B$2:$B$3000,$A200)</f>
        <v>2</v>
      </c>
      <c r="J200" s="5" t="str">
        <f aca="false">IF(COUNTIFS(Interaction_Log!$B$2:$B$3000,$A200,Interaction_Log!$E$2:$E$3000,"Details Sent")&gt;0,"Yes","No")</f>
        <v>No</v>
      </c>
      <c r="K200" s="2" t="str">
        <f aca="false">IF(AND(COUNTIFS(Interaction_Log!$B$2:$B$3000,$A200,Interaction_Log!$E$2:$E$3000,"Paid")&gt;0,$C200&lt;&gt;"Paid"),"Paid then re-opened","")</f>
        <v/>
      </c>
    </row>
    <row r="201" customFormat="false" ht="15" hidden="false" customHeight="false" outlineLevel="0" collapsed="false">
      <c r="A201" s="2" t="s">
        <v>794</v>
      </c>
      <c r="B201" s="2" t="str">
        <f aca="false">IFERROR(INDEX(Lead_Master!$B$2:$B$1000,MATCH($A201,Lead_Master!$A$2:$A$1000,0)),"")</f>
        <v>Kartik Sinha</v>
      </c>
      <c r="C201" s="2" t="str">
        <f aca="false">IFERROR(LOOKUP(2,1/(Interaction_Log!$B$2:$B$3000=$A201),Interaction_Log!$E$2:$E$3000),"No contact")</f>
        <v>Details Sent</v>
      </c>
      <c r="D201" s="5" t="str">
        <f aca="false">IFERROR(INDEX(Lists!$B$2:$B$12,MATCH($C201,Lists!$A$2:$A$12,0)),"Unmapped")</f>
        <v>Follow Up</v>
      </c>
      <c r="E201" s="4" t="n">
        <f aca="false">IFERROR(LOOKUP(2,1/((Interaction_Log!$B$2:$B$3000=$A201)*(Interaction_Log!$G$2:$G$3000&lt;&gt;"")),Interaction_Log!$G$2:$G$3000),"")</f>
        <v>46231</v>
      </c>
      <c r="F201" s="5" t="str">
        <f aca="false">IFERROR(INDEX(Lists!$C$2:$C$12,MATCH($C201,Lists!$A$2:$A$12,0)),"")</f>
        <v>High</v>
      </c>
      <c r="G201" s="5" t="str">
        <f aca="false">IFERROR(INDEX(Lists!$D$2:$D$12,MATCH($C201,Lists!$A$2:$A$12,0)),"")</f>
        <v>Call</v>
      </c>
      <c r="H201" s="5" t="str">
        <f aca="false">IF(OR($D201="Converted",$D201="Closed"),"—",IF($E201="","Not Scheduled",IF($E201&lt;CRM_Dashboard!$B$3,"Overdue",IF($E201=CRM_Dashboard!$B$3,"Due Today","Upcoming"))))</f>
        <v>Overdue</v>
      </c>
      <c r="I201" s="5" t="n">
        <f aca="false">COUNTIF(Interaction_Log!$B$2:$B$3000,$A201)</f>
        <v>4</v>
      </c>
      <c r="J201" s="5" t="str">
        <f aca="false">IF(COUNTIFS(Interaction_Log!$B$2:$B$3000,$A201,Interaction_Log!$E$2:$E$3000,"Details Sent")&gt;0,"Yes","No")</f>
        <v>Yes</v>
      </c>
      <c r="K201" s="2" t="str">
        <f aca="false">IF(AND(COUNTIFS(Interaction_Log!$B$2:$B$3000,$A201,Interaction_Log!$E$2:$E$3000,"Paid")&gt;0,$C201&lt;&gt;"Paid"),"Paid then re-opened","")</f>
        <v/>
      </c>
    </row>
    <row r="202" customFormat="false" ht="15" hidden="false" customHeight="false" outlineLevel="0" collapsed="false">
      <c r="A202" s="2" t="s">
        <v>797</v>
      </c>
      <c r="B202" s="2" t="str">
        <f aca="false">IFERROR(INDEX(Lead_Master!$B$2:$B$1000,MATCH($A202,Lead_Master!$A$2:$A$1000,0)),"")</f>
        <v>Vivek Sinha</v>
      </c>
      <c r="C202" s="2" t="str">
        <f aca="false">IFERROR(LOOKUP(2,1/(Interaction_Log!$B$2:$B$3000=$A202),Interaction_Log!$E$2:$E$3000),"No contact")</f>
        <v>Details Sent</v>
      </c>
      <c r="D202" s="5" t="str">
        <f aca="false">IFERROR(INDEX(Lists!$B$2:$B$12,MATCH($C202,Lists!$A$2:$A$12,0)),"Unmapped")</f>
        <v>Follow Up</v>
      </c>
      <c r="E202" s="4" t="n">
        <f aca="false">IFERROR(LOOKUP(2,1/((Interaction_Log!$B$2:$B$3000=$A202)*(Interaction_Log!$G$2:$G$3000&lt;&gt;"")),Interaction_Log!$G$2:$G$3000),"")</f>
        <v>46232</v>
      </c>
      <c r="F202" s="5" t="str">
        <f aca="false">IFERROR(INDEX(Lists!$C$2:$C$12,MATCH($C202,Lists!$A$2:$A$12,0)),"")</f>
        <v>High</v>
      </c>
      <c r="G202" s="5" t="str">
        <f aca="false">IFERROR(INDEX(Lists!$D$2:$D$12,MATCH($C202,Lists!$A$2:$A$12,0)),"")</f>
        <v>Call</v>
      </c>
      <c r="H202" s="5" t="str">
        <f aca="false">IF(OR($D202="Converted",$D202="Closed"),"—",IF($E202="","Not Scheduled",IF($E202&lt;CRM_Dashboard!$B$3,"Overdue",IF($E202=CRM_Dashboard!$B$3,"Due Today","Upcoming"))))</f>
        <v>Overdue</v>
      </c>
      <c r="I202" s="5" t="n">
        <f aca="false">COUNTIF(Interaction_Log!$B$2:$B$3000,$A202)</f>
        <v>2</v>
      </c>
      <c r="J202" s="5" t="str">
        <f aca="false">IF(COUNTIFS(Interaction_Log!$B$2:$B$3000,$A202,Interaction_Log!$E$2:$E$3000,"Details Sent")&gt;0,"Yes","No")</f>
        <v>Yes</v>
      </c>
      <c r="K202" s="2" t="str">
        <f aca="false">IF(AND(COUNTIFS(Interaction_Log!$B$2:$B$3000,$A202,Interaction_Log!$E$2:$E$3000,"Paid")&gt;0,$C202&lt;&gt;"Paid"),"Paid then re-opened","")</f>
        <v/>
      </c>
    </row>
    <row r="203" customFormat="false" ht="15" hidden="false" customHeight="false" outlineLevel="0" collapsed="false">
      <c r="A203" s="2" t="s">
        <v>801</v>
      </c>
      <c r="B203" s="2" t="str">
        <f aca="false">IFERROR(INDEX(Lead_Master!$B$2:$B$1000,MATCH($A203,Lead_Master!$A$2:$A$1000,0)),"")</f>
        <v>Shreya Jain</v>
      </c>
      <c r="C203" s="2" t="str">
        <f aca="false">IFERROR(LOOKUP(2,1/(Interaction_Log!$B$2:$B$3000=$A203),Interaction_Log!$E$2:$E$3000),"No contact")</f>
        <v>Follow Up</v>
      </c>
      <c r="D203" s="5" t="str">
        <f aca="false">IFERROR(INDEX(Lists!$B$2:$B$12,MATCH($C203,Lists!$A$2:$A$12,0)),"Unmapped")</f>
        <v>Follow Up</v>
      </c>
      <c r="E203" s="4" t="n">
        <f aca="false">IFERROR(LOOKUP(2,1/((Interaction_Log!$B$2:$B$3000=$A203)*(Interaction_Log!$G$2:$G$3000&lt;&gt;"")),Interaction_Log!$G$2:$G$3000),"")</f>
        <v>46263</v>
      </c>
      <c r="F203" s="5" t="str">
        <f aca="false">IFERROR(INDEX(Lists!$C$2:$C$12,MATCH($C203,Lists!$A$2:$A$12,0)),"")</f>
        <v>High</v>
      </c>
      <c r="G203" s="5" t="str">
        <f aca="false">IFERROR(INDEX(Lists!$D$2:$D$12,MATCH($C203,Lists!$A$2:$A$12,0)),"")</f>
        <v>Call</v>
      </c>
      <c r="H203" s="5" t="str">
        <f aca="false">IF(OR($D203="Converted",$D203="Closed"),"—",IF($E203="","Not Scheduled",IF($E203&lt;CRM_Dashboard!$B$3,"Overdue",IF($E203=CRM_Dashboard!$B$3,"Due Today","Upcoming"))))</f>
        <v>Overdue</v>
      </c>
      <c r="I203" s="5" t="n">
        <f aca="false">COUNTIF(Interaction_Log!$B$2:$B$3000,$A203)</f>
        <v>4</v>
      </c>
      <c r="J203" s="5" t="str">
        <f aca="false">IF(COUNTIFS(Interaction_Log!$B$2:$B$3000,$A203,Interaction_Log!$E$2:$E$3000,"Details Sent")&gt;0,"Yes","No")</f>
        <v>No</v>
      </c>
      <c r="K203" s="2" t="str">
        <f aca="false">IF(AND(COUNTIFS(Interaction_Log!$B$2:$B$3000,$A203,Interaction_Log!$E$2:$E$3000,"Paid")&gt;0,$C203&lt;&gt;"Paid"),"Paid then re-opened","")</f>
        <v/>
      </c>
    </row>
    <row r="204" customFormat="false" ht="15" hidden="false" customHeight="false" outlineLevel="0" collapsed="false">
      <c r="A204" s="2" t="s">
        <v>805</v>
      </c>
      <c r="B204" s="2" t="str">
        <f aca="false">IFERROR(INDEX(Lead_Master!$B$2:$B$1000,MATCH($A204,Lead_Master!$A$2:$A$1000,0)),"")</f>
        <v>Simran Patel</v>
      </c>
      <c r="C204" s="2" t="str">
        <f aca="false">IFERROR(LOOKUP(2,1/(Interaction_Log!$B$2:$B$3000=$A204),Interaction_Log!$E$2:$E$3000),"No contact")</f>
        <v>Call Cut</v>
      </c>
      <c r="D204" s="5" t="str">
        <f aca="false">IFERROR(INDEX(Lists!$B$2:$B$12,MATCH($C204,Lists!$A$2:$A$12,0)),"Unmapped")</f>
        <v>Pending</v>
      </c>
      <c r="E204" s="4" t="str">
        <f aca="false">IFERROR(LOOKUP(2,1/((Interaction_Log!$B$2:$B$3000=$A204)*(Interaction_Log!$G$2:$G$3000&lt;&gt;"")),Interaction_Log!$G$2:$G$3000),"")</f>
        <v/>
      </c>
      <c r="F204" s="5" t="str">
        <f aca="false">IFERROR(INDEX(Lists!$C$2:$C$12,MATCH($C204,Lists!$A$2:$A$12,0)),"")</f>
        <v>Medium</v>
      </c>
      <c r="G204" s="5" t="str">
        <f aca="false">IFERROR(INDEX(Lists!$D$2:$D$12,MATCH($C204,Lists!$A$2:$A$12,0)),"")</f>
        <v>Retry</v>
      </c>
      <c r="H204" s="5" t="str">
        <f aca="false">IF(OR($D204="Converted",$D204="Closed"),"—",IF($E204="","Not Scheduled",IF($E204&lt;CRM_Dashboard!$B$3,"Overdue",IF($E204=CRM_Dashboard!$B$3,"Due Today","Upcoming"))))</f>
        <v>Not Scheduled</v>
      </c>
      <c r="I204" s="5" t="n">
        <f aca="false">COUNTIF(Interaction_Log!$B$2:$B$3000,$A204)</f>
        <v>4</v>
      </c>
      <c r="J204" s="5" t="str">
        <f aca="false">IF(COUNTIFS(Interaction_Log!$B$2:$B$3000,$A204,Interaction_Log!$E$2:$E$3000,"Details Sent")&gt;0,"Yes","No")</f>
        <v>Yes</v>
      </c>
      <c r="K204" s="2" t="str">
        <f aca="false">IF(AND(COUNTIFS(Interaction_Log!$B$2:$B$3000,$A204,Interaction_Log!$E$2:$E$3000,"Paid")&gt;0,$C204&lt;&gt;"Paid"),"Paid then re-opened","")</f>
        <v/>
      </c>
    </row>
    <row r="205" customFormat="false" ht="15" hidden="false" customHeight="false" outlineLevel="0" collapsed="false">
      <c r="A205" s="2" t="s">
        <v>809</v>
      </c>
      <c r="B205" s="2" t="str">
        <f aca="false">IFERROR(INDEX(Lead_Master!$B$2:$B$1000,MATCH($A205,Lead_Master!$A$2:$A$1000,0)),"")</f>
        <v>Aman Singh</v>
      </c>
      <c r="C205" s="2" t="str">
        <f aca="false">IFERROR(LOOKUP(2,1/(Interaction_Log!$B$2:$B$3000=$A205),Interaction_Log!$E$2:$E$3000),"No contact")</f>
        <v>Follow Up</v>
      </c>
      <c r="D205" s="5" t="str">
        <f aca="false">IFERROR(INDEX(Lists!$B$2:$B$12,MATCH($C205,Lists!$A$2:$A$12,0)),"Unmapped")</f>
        <v>Follow Up</v>
      </c>
      <c r="E205" s="4" t="n">
        <f aca="false">IFERROR(LOOKUP(2,1/((Interaction_Log!$B$2:$B$3000=$A205)*(Interaction_Log!$G$2:$G$3000&lt;&gt;"")),Interaction_Log!$G$2:$G$3000),"")</f>
        <v>46294</v>
      </c>
      <c r="F205" s="5" t="str">
        <f aca="false">IFERROR(INDEX(Lists!$C$2:$C$12,MATCH($C205,Lists!$A$2:$A$12,0)),"")</f>
        <v>High</v>
      </c>
      <c r="G205" s="5" t="str">
        <f aca="false">IFERROR(INDEX(Lists!$D$2:$D$12,MATCH($C205,Lists!$A$2:$A$12,0)),"")</f>
        <v>Call</v>
      </c>
      <c r="H205" s="5" t="str">
        <f aca="false">IF(OR($D205="Converted",$D205="Closed"),"—",IF($E205="","Not Scheduled",IF($E205&lt;CRM_Dashboard!$B$3,"Overdue",IF($E205=CRM_Dashboard!$B$3,"Due Today","Upcoming"))))</f>
        <v>Due Today</v>
      </c>
      <c r="I205" s="5" t="n">
        <f aca="false">COUNTIF(Interaction_Log!$B$2:$B$3000,$A205)</f>
        <v>3</v>
      </c>
      <c r="J205" s="5" t="str">
        <f aca="false">IF(COUNTIFS(Interaction_Log!$B$2:$B$3000,$A205,Interaction_Log!$E$2:$E$3000,"Details Sent")&gt;0,"Yes","No")</f>
        <v>No</v>
      </c>
      <c r="K205" s="2" t="str">
        <f aca="false">IF(AND(COUNTIFS(Interaction_Log!$B$2:$B$3000,$A205,Interaction_Log!$E$2:$E$3000,"Paid")&gt;0,$C205&lt;&gt;"Paid"),"Paid then re-opened","")</f>
        <v>Paid then re-opened</v>
      </c>
    </row>
    <row r="206" customFormat="false" ht="15" hidden="false" customHeight="false" outlineLevel="0" collapsed="false">
      <c r="A206" s="2" t="s">
        <v>813</v>
      </c>
      <c r="B206" s="2" t="str">
        <f aca="false">IFERROR(INDEX(Lead_Master!$B$2:$B$1000,MATCH($A206,Lead_Master!$A$2:$A$1000,0)),"")</f>
        <v>Pooja Yadav</v>
      </c>
      <c r="C206" s="2" t="str">
        <f aca="false">IFERROR(LOOKUP(2,1/(Interaction_Log!$B$2:$B$3000=$A206),Interaction_Log!$E$2:$E$3000),"No contact")</f>
        <v>Paid</v>
      </c>
      <c r="D206" s="5" t="str">
        <f aca="false">IFERROR(INDEX(Lists!$B$2:$B$12,MATCH($C206,Lists!$A$2:$A$12,0)),"Unmapped")</f>
        <v>Converted</v>
      </c>
      <c r="E206" s="4" t="str">
        <f aca="false">IFERROR(LOOKUP(2,1/((Interaction_Log!$B$2:$B$3000=$A206)*(Interaction_Log!$G$2:$G$3000&lt;&gt;"")),Interaction_Log!$G$2:$G$3000),"")</f>
        <v/>
      </c>
      <c r="F206" s="5" t="str">
        <f aca="false">IFERROR(INDEX(Lists!$C$2:$C$12,MATCH($C206,Lists!$A$2:$A$12,0)),"")</f>
        <v>—</v>
      </c>
      <c r="G206" s="5" t="str">
        <f aca="false">IFERROR(INDEX(Lists!$D$2:$D$12,MATCH($C206,Lists!$A$2:$A$12,0)),"")</f>
        <v>Onboard</v>
      </c>
      <c r="H206" s="5" t="str">
        <f aca="false">IF(OR($D206="Converted",$D206="Closed"),"—",IF($E206="","Not Scheduled",IF($E206&lt;CRM_Dashboard!$B$3,"Overdue",IF($E206=CRM_Dashboard!$B$3,"Due Today","Upcoming"))))</f>
        <v>—</v>
      </c>
      <c r="I206" s="5" t="n">
        <f aca="false">COUNTIF(Interaction_Log!$B$2:$B$3000,$A206)</f>
        <v>4</v>
      </c>
      <c r="J206" s="5" t="str">
        <f aca="false">IF(COUNTIFS(Interaction_Log!$B$2:$B$3000,$A206,Interaction_Log!$E$2:$E$3000,"Details Sent")&gt;0,"Yes","No")</f>
        <v>Yes</v>
      </c>
      <c r="K206" s="2" t="str">
        <f aca="false">IF(AND(COUNTIFS(Interaction_Log!$B$2:$B$3000,$A206,Interaction_Log!$E$2:$E$3000,"Paid")&gt;0,$C206&lt;&gt;"Paid"),"Paid then re-opened","")</f>
        <v/>
      </c>
    </row>
    <row r="207" customFormat="false" ht="15" hidden="false" customHeight="false" outlineLevel="0" collapsed="false">
      <c r="A207" s="2" t="s">
        <v>817</v>
      </c>
      <c r="B207" s="2" t="str">
        <f aca="false">IFERROR(INDEX(Lead_Master!$B$2:$B$1000,MATCH($A207,Lead_Master!$A$2:$A$1000,0)),"")</f>
        <v>Ayush Rathore</v>
      </c>
      <c r="C207" s="2" t="str">
        <f aca="false">IFERROR(LOOKUP(2,1/(Interaction_Log!$B$2:$B$3000=$A207),Interaction_Log!$E$2:$E$3000),"No contact")</f>
        <v>Switch Off</v>
      </c>
      <c r="D207" s="5" t="str">
        <f aca="false">IFERROR(INDEX(Lists!$B$2:$B$12,MATCH($C207,Lists!$A$2:$A$12,0)),"Unmapped")</f>
        <v>Pending</v>
      </c>
      <c r="E207" s="4" t="str">
        <f aca="false">IFERROR(LOOKUP(2,1/((Interaction_Log!$B$2:$B$3000=$A207)*(Interaction_Log!$G$2:$G$3000&lt;&gt;"")),Interaction_Log!$G$2:$G$3000),"")</f>
        <v/>
      </c>
      <c r="F207" s="5" t="str">
        <f aca="false">IFERROR(INDEX(Lists!$C$2:$C$12,MATCH($C207,Lists!$A$2:$A$12,0)),"")</f>
        <v>Low</v>
      </c>
      <c r="G207" s="5" t="str">
        <f aca="false">IFERROR(INDEX(Lists!$D$2:$D$12,MATCH($C207,Lists!$A$2:$A$12,0)),"")</f>
        <v>Retry</v>
      </c>
      <c r="H207" s="5" t="str">
        <f aca="false">IF(OR($D207="Converted",$D207="Closed"),"—",IF($E207="","Not Scheduled",IF($E207&lt;CRM_Dashboard!$B$3,"Overdue",IF($E207=CRM_Dashboard!$B$3,"Due Today","Upcoming"))))</f>
        <v>Not Scheduled</v>
      </c>
      <c r="I207" s="5" t="n">
        <f aca="false">COUNTIF(Interaction_Log!$B$2:$B$3000,$A207)</f>
        <v>1</v>
      </c>
      <c r="J207" s="5" t="str">
        <f aca="false">IF(COUNTIFS(Interaction_Log!$B$2:$B$3000,$A207,Interaction_Log!$E$2:$E$3000,"Details Sent")&gt;0,"Yes","No")</f>
        <v>No</v>
      </c>
      <c r="K207" s="2" t="str">
        <f aca="false">IF(AND(COUNTIFS(Interaction_Log!$B$2:$B$3000,$A207,Interaction_Log!$E$2:$E$3000,"Paid")&gt;0,$C207&lt;&gt;"Paid"),"Paid then re-opened","")</f>
        <v/>
      </c>
    </row>
    <row r="208" customFormat="false" ht="15" hidden="false" customHeight="false" outlineLevel="0" collapsed="false">
      <c r="A208" s="2" t="s">
        <v>820</v>
      </c>
      <c r="B208" s="2" t="str">
        <f aca="false">IFERROR(INDEX(Lead_Master!$B$2:$B$1000,MATCH($A208,Lead_Master!$A$2:$A$1000,0)),"")</f>
        <v>Pooja Jain</v>
      </c>
      <c r="C208" s="2" t="str">
        <f aca="false">IFERROR(LOOKUP(2,1/(Interaction_Log!$B$2:$B$3000=$A208),Interaction_Log!$E$2:$E$3000),"No contact")</f>
        <v>Follow Up</v>
      </c>
      <c r="D208" s="5" t="str">
        <f aca="false">IFERROR(INDEX(Lists!$B$2:$B$12,MATCH($C208,Lists!$A$2:$A$12,0)),"Unmapped")</f>
        <v>Follow Up</v>
      </c>
      <c r="E208" s="4" t="n">
        <f aca="false">IFERROR(LOOKUP(2,1/((Interaction_Log!$B$2:$B$3000=$A208)*(Interaction_Log!$G$2:$G$3000&lt;&gt;"")),Interaction_Log!$G$2:$G$3000),"")</f>
        <v>46270</v>
      </c>
      <c r="F208" s="5" t="str">
        <f aca="false">IFERROR(INDEX(Lists!$C$2:$C$12,MATCH($C208,Lists!$A$2:$A$12,0)),"")</f>
        <v>High</v>
      </c>
      <c r="G208" s="5" t="str">
        <f aca="false">IFERROR(INDEX(Lists!$D$2:$D$12,MATCH($C208,Lists!$A$2:$A$12,0)),"")</f>
        <v>Call</v>
      </c>
      <c r="H208" s="5" t="str">
        <f aca="false">IF(OR($D208="Converted",$D208="Closed"),"—",IF($E208="","Not Scheduled",IF($E208&lt;CRM_Dashboard!$B$3,"Overdue",IF($E208=CRM_Dashboard!$B$3,"Due Today","Upcoming"))))</f>
        <v>Overdue</v>
      </c>
      <c r="I208" s="5" t="n">
        <f aca="false">COUNTIF(Interaction_Log!$B$2:$B$3000,$A208)</f>
        <v>4</v>
      </c>
      <c r="J208" s="5" t="str">
        <f aca="false">IF(COUNTIFS(Interaction_Log!$B$2:$B$3000,$A208,Interaction_Log!$E$2:$E$3000,"Details Sent")&gt;0,"Yes","No")</f>
        <v>Yes</v>
      </c>
      <c r="K208" s="2" t="str">
        <f aca="false">IF(AND(COUNTIFS(Interaction_Log!$B$2:$B$3000,$A208,Interaction_Log!$E$2:$E$3000,"Paid")&gt;0,$C208&lt;&gt;"Paid"),"Paid then re-opened","")</f>
        <v/>
      </c>
    </row>
    <row r="209" customFormat="false" ht="15" hidden="false" customHeight="false" outlineLevel="0" collapsed="false">
      <c r="A209" s="2" t="s">
        <v>824</v>
      </c>
      <c r="B209" s="2" t="str">
        <f aca="false">IFERROR(INDEX(Lead_Master!$B$2:$B$1000,MATCH($A209,Lead_Master!$A$2:$A$1000,0)),"")</f>
        <v>Tanya Mishra</v>
      </c>
      <c r="C209" s="2" t="str">
        <f aca="false">IFERROR(LOOKUP(2,1/(Interaction_Log!$B$2:$B$3000=$A209),Interaction_Log!$E$2:$E$3000),"No contact")</f>
        <v>Not Interested</v>
      </c>
      <c r="D209" s="5" t="str">
        <f aca="false">IFERROR(INDEX(Lists!$B$2:$B$12,MATCH($C209,Lists!$A$2:$A$12,0)),"Unmapped")</f>
        <v>Closed</v>
      </c>
      <c r="E209" s="4" t="str">
        <f aca="false">IFERROR(LOOKUP(2,1/((Interaction_Log!$B$2:$B$3000=$A209)*(Interaction_Log!$G$2:$G$3000&lt;&gt;"")),Interaction_Log!$G$2:$G$3000),"")</f>
        <v/>
      </c>
      <c r="F209" s="5" t="str">
        <f aca="false">IFERROR(INDEX(Lists!$C$2:$C$12,MATCH($C209,Lists!$A$2:$A$12,0)),"")</f>
        <v>—</v>
      </c>
      <c r="G209" s="5" t="str">
        <f aca="false">IFERROR(INDEX(Lists!$D$2:$D$12,MATCH($C209,Lists!$A$2:$A$12,0)),"")</f>
        <v>No action</v>
      </c>
      <c r="H209" s="5" t="str">
        <f aca="false">IF(OR($D209="Converted",$D209="Closed"),"—",IF($E209="","Not Scheduled",IF($E209&lt;CRM_Dashboard!$B$3,"Overdue",IF($E209=CRM_Dashboard!$B$3,"Due Today","Upcoming"))))</f>
        <v>—</v>
      </c>
      <c r="I209" s="5" t="n">
        <f aca="false">COUNTIF(Interaction_Log!$B$2:$B$3000,$A209)</f>
        <v>4</v>
      </c>
      <c r="J209" s="5" t="str">
        <f aca="false">IF(COUNTIFS(Interaction_Log!$B$2:$B$3000,$A209,Interaction_Log!$E$2:$E$3000,"Details Sent")&gt;0,"Yes","No")</f>
        <v>Yes</v>
      </c>
      <c r="K209" s="2" t="str">
        <f aca="false">IF(AND(COUNTIFS(Interaction_Log!$B$2:$B$3000,$A209,Interaction_Log!$E$2:$E$3000,"Paid")&gt;0,$C209&lt;&gt;"Paid"),"Paid then re-opened","")</f>
        <v/>
      </c>
    </row>
    <row r="210" customFormat="false" ht="15" hidden="false" customHeight="false" outlineLevel="0" collapsed="false">
      <c r="A210" s="2" t="s">
        <v>828</v>
      </c>
      <c r="B210" s="2" t="str">
        <f aca="false">IFERROR(INDEX(Lead_Master!$B$2:$B$1000,MATCH($A210,Lead_Master!$A$2:$A$1000,0)),"")</f>
        <v>Abhishek Gupta</v>
      </c>
      <c r="C210" s="2" t="str">
        <f aca="false">IFERROR(LOOKUP(2,1/(Interaction_Log!$B$2:$B$3000=$A210),Interaction_Log!$E$2:$E$3000),"No contact")</f>
        <v>Not Interested</v>
      </c>
      <c r="D210" s="5" t="str">
        <f aca="false">IFERROR(INDEX(Lists!$B$2:$B$12,MATCH($C210,Lists!$A$2:$A$12,0)),"Unmapped")</f>
        <v>Closed</v>
      </c>
      <c r="E210" s="4" t="str">
        <f aca="false">IFERROR(LOOKUP(2,1/((Interaction_Log!$B$2:$B$3000=$A210)*(Interaction_Log!$G$2:$G$3000&lt;&gt;"")),Interaction_Log!$G$2:$G$3000),"")</f>
        <v/>
      </c>
      <c r="F210" s="5" t="str">
        <f aca="false">IFERROR(INDEX(Lists!$C$2:$C$12,MATCH($C210,Lists!$A$2:$A$12,0)),"")</f>
        <v>—</v>
      </c>
      <c r="G210" s="5" t="str">
        <f aca="false">IFERROR(INDEX(Lists!$D$2:$D$12,MATCH($C210,Lists!$A$2:$A$12,0)),"")</f>
        <v>No action</v>
      </c>
      <c r="H210" s="5" t="str">
        <f aca="false">IF(OR($D210="Converted",$D210="Closed"),"—",IF($E210="","Not Scheduled",IF($E210&lt;CRM_Dashboard!$B$3,"Overdue",IF($E210=CRM_Dashboard!$B$3,"Due Today","Upcoming"))))</f>
        <v>—</v>
      </c>
      <c r="I210" s="5" t="n">
        <f aca="false">COUNTIF(Interaction_Log!$B$2:$B$3000,$A210)</f>
        <v>1</v>
      </c>
      <c r="J210" s="5" t="str">
        <f aca="false">IF(COUNTIFS(Interaction_Log!$B$2:$B$3000,$A210,Interaction_Log!$E$2:$E$3000,"Details Sent")&gt;0,"Yes","No")</f>
        <v>No</v>
      </c>
      <c r="K210" s="2" t="str">
        <f aca="false">IF(AND(COUNTIFS(Interaction_Log!$B$2:$B$3000,$A210,Interaction_Log!$E$2:$E$3000,"Paid")&gt;0,$C210&lt;&gt;"Paid"),"Paid then re-opened","")</f>
        <v/>
      </c>
    </row>
    <row r="211" customFormat="false" ht="15" hidden="false" customHeight="false" outlineLevel="0" collapsed="false">
      <c r="A211" s="2" t="s">
        <v>832</v>
      </c>
      <c r="B211" s="2" t="str">
        <f aca="false">IFERROR(INDEX(Lead_Master!$B$2:$B$1000,MATCH($A211,Lead_Master!$A$2:$A$1000,0)),"")</f>
        <v>Varun Rathore</v>
      </c>
      <c r="C211" s="2" t="str">
        <f aca="false">IFERROR(LOOKUP(2,1/(Interaction_Log!$B$2:$B$3000=$A211),Interaction_Log!$E$2:$E$3000),"No contact")</f>
        <v>DNP</v>
      </c>
      <c r="D211" s="5" t="str">
        <f aca="false">IFERROR(INDEX(Lists!$B$2:$B$12,MATCH($C211,Lists!$A$2:$A$12,0)),"Unmapped")</f>
        <v>Pending</v>
      </c>
      <c r="E211" s="4" t="str">
        <f aca="false">IFERROR(LOOKUP(2,1/((Interaction_Log!$B$2:$B$3000=$A211)*(Interaction_Log!$G$2:$G$3000&lt;&gt;"")),Interaction_Log!$G$2:$G$3000),"")</f>
        <v/>
      </c>
      <c r="F211" s="5" t="str">
        <f aca="false">IFERROR(INDEX(Lists!$C$2:$C$12,MATCH($C211,Lists!$A$2:$A$12,0)),"")</f>
        <v>Low</v>
      </c>
      <c r="G211" s="5" t="str">
        <f aca="false">IFERROR(INDEX(Lists!$D$2:$D$12,MATCH($C211,Lists!$A$2:$A$12,0)),"")</f>
        <v>Retry</v>
      </c>
      <c r="H211" s="5" t="str">
        <f aca="false">IF(OR($D211="Converted",$D211="Closed"),"—",IF($E211="","Not Scheduled",IF($E211&lt;CRM_Dashboard!$B$3,"Overdue",IF($E211=CRM_Dashboard!$B$3,"Due Today","Upcoming"))))</f>
        <v>Not Scheduled</v>
      </c>
      <c r="I211" s="5" t="n">
        <f aca="false">COUNTIF(Interaction_Log!$B$2:$B$3000,$A211)</f>
        <v>4</v>
      </c>
      <c r="J211" s="5" t="str">
        <f aca="false">IF(COUNTIFS(Interaction_Log!$B$2:$B$3000,$A211,Interaction_Log!$E$2:$E$3000,"Details Sent")&gt;0,"Yes","No")</f>
        <v>No</v>
      </c>
      <c r="K211" s="2" t="str">
        <f aca="false">IF(AND(COUNTIFS(Interaction_Log!$B$2:$B$3000,$A211,Interaction_Log!$E$2:$E$3000,"Paid")&gt;0,$C211&lt;&gt;"Paid"),"Paid then re-opened","")</f>
        <v/>
      </c>
    </row>
    <row r="212" customFormat="false" ht="15" hidden="false" customHeight="false" outlineLevel="0" collapsed="false">
      <c r="A212" s="2" t="s">
        <v>836</v>
      </c>
      <c r="B212" s="2" t="str">
        <f aca="false">IFERROR(INDEX(Lead_Master!$B$2:$B$1000,MATCH($A212,Lead_Master!$A$2:$A$1000,0)),"")</f>
        <v>Sahil Gupta</v>
      </c>
      <c r="C212" s="2" t="str">
        <f aca="false">IFERROR(LOOKUP(2,1/(Interaction_Log!$B$2:$B$3000=$A212),Interaction_Log!$E$2:$E$3000),"No contact")</f>
        <v>Follow Up</v>
      </c>
      <c r="D212" s="5" t="str">
        <f aca="false">IFERROR(INDEX(Lists!$B$2:$B$12,MATCH($C212,Lists!$A$2:$A$12,0)),"Unmapped")</f>
        <v>Follow Up</v>
      </c>
      <c r="E212" s="4" t="n">
        <f aca="false">IFERROR(LOOKUP(2,1/((Interaction_Log!$B$2:$B$3000=$A212)*(Interaction_Log!$G$2:$G$3000&lt;&gt;"")),Interaction_Log!$G$2:$G$3000),"")</f>
        <v>46240</v>
      </c>
      <c r="F212" s="5" t="str">
        <f aca="false">IFERROR(INDEX(Lists!$C$2:$C$12,MATCH($C212,Lists!$A$2:$A$12,0)),"")</f>
        <v>High</v>
      </c>
      <c r="G212" s="5" t="str">
        <f aca="false">IFERROR(INDEX(Lists!$D$2:$D$12,MATCH($C212,Lists!$A$2:$A$12,0)),"")</f>
        <v>Call</v>
      </c>
      <c r="H212" s="5" t="str">
        <f aca="false">IF(OR($D212="Converted",$D212="Closed"),"—",IF($E212="","Not Scheduled",IF($E212&lt;CRM_Dashboard!$B$3,"Overdue",IF($E212=CRM_Dashboard!$B$3,"Due Today","Upcoming"))))</f>
        <v>Overdue</v>
      </c>
      <c r="I212" s="5" t="n">
        <f aca="false">COUNTIF(Interaction_Log!$B$2:$B$3000,$A212)</f>
        <v>1</v>
      </c>
      <c r="J212" s="5" t="str">
        <f aca="false">IF(COUNTIFS(Interaction_Log!$B$2:$B$3000,$A212,Interaction_Log!$E$2:$E$3000,"Details Sent")&gt;0,"Yes","No")</f>
        <v>No</v>
      </c>
      <c r="K212" s="2" t="str">
        <f aca="false">IF(AND(COUNTIFS(Interaction_Log!$B$2:$B$3000,$A212,Interaction_Log!$E$2:$E$3000,"Paid")&gt;0,$C212&lt;&gt;"Paid"),"Paid then re-opened","")</f>
        <v/>
      </c>
    </row>
    <row r="213" customFormat="false" ht="15" hidden="false" customHeight="false" outlineLevel="0" collapsed="false">
      <c r="A213" s="2" t="s">
        <v>840</v>
      </c>
      <c r="B213" s="2" t="str">
        <f aca="false">IFERROR(INDEX(Lead_Master!$B$2:$B$1000,MATCH($A213,Lead_Master!$A$2:$A$1000,0)),"")</f>
        <v>Varun Pandey</v>
      </c>
      <c r="C213" s="2" t="str">
        <f aca="false">IFERROR(LOOKUP(2,1/(Interaction_Log!$B$2:$B$3000=$A213),Interaction_Log!$E$2:$E$3000),"No contact")</f>
        <v>DNP</v>
      </c>
      <c r="D213" s="5" t="str">
        <f aca="false">IFERROR(INDEX(Lists!$B$2:$B$12,MATCH($C213,Lists!$A$2:$A$12,0)),"Unmapped")</f>
        <v>Pending</v>
      </c>
      <c r="E213" s="4" t="str">
        <f aca="false">IFERROR(LOOKUP(2,1/((Interaction_Log!$B$2:$B$3000=$A213)*(Interaction_Log!$G$2:$G$3000&lt;&gt;"")),Interaction_Log!$G$2:$G$3000),"")</f>
        <v/>
      </c>
      <c r="F213" s="5" t="str">
        <f aca="false">IFERROR(INDEX(Lists!$C$2:$C$12,MATCH($C213,Lists!$A$2:$A$12,0)),"")</f>
        <v>Low</v>
      </c>
      <c r="G213" s="5" t="str">
        <f aca="false">IFERROR(INDEX(Lists!$D$2:$D$12,MATCH($C213,Lists!$A$2:$A$12,0)),"")</f>
        <v>Retry</v>
      </c>
      <c r="H213" s="5" t="str">
        <f aca="false">IF(OR($D213="Converted",$D213="Closed"),"—",IF($E213="","Not Scheduled",IF($E213&lt;CRM_Dashboard!$B$3,"Overdue",IF($E213=CRM_Dashboard!$B$3,"Due Today","Upcoming"))))</f>
        <v>Not Scheduled</v>
      </c>
      <c r="I213" s="5" t="n">
        <f aca="false">COUNTIF(Interaction_Log!$B$2:$B$3000,$A213)</f>
        <v>1</v>
      </c>
      <c r="J213" s="5" t="str">
        <f aca="false">IF(COUNTIFS(Interaction_Log!$B$2:$B$3000,$A213,Interaction_Log!$E$2:$E$3000,"Details Sent")&gt;0,"Yes","No")</f>
        <v>No</v>
      </c>
      <c r="K213" s="2" t="str">
        <f aca="false">IF(AND(COUNTIFS(Interaction_Log!$B$2:$B$3000,$A213,Interaction_Log!$E$2:$E$3000,"Paid")&gt;0,$C213&lt;&gt;"Paid"),"Paid then re-opened","")</f>
        <v/>
      </c>
    </row>
    <row r="214" customFormat="false" ht="15" hidden="false" customHeight="false" outlineLevel="0" collapsed="false">
      <c r="A214" s="2" t="s">
        <v>843</v>
      </c>
      <c r="B214" s="2" t="str">
        <f aca="false">IFERROR(INDEX(Lead_Master!$B$2:$B$1000,MATCH($A214,Lead_Master!$A$2:$A$1000,0)),"")</f>
        <v>Rahul Agarwal</v>
      </c>
      <c r="C214" s="2" t="str">
        <f aca="false">IFERROR(LOOKUP(2,1/(Interaction_Log!$B$2:$B$3000=$A214),Interaction_Log!$E$2:$E$3000),"No contact")</f>
        <v>Follow Up</v>
      </c>
      <c r="D214" s="5" t="str">
        <f aca="false">IFERROR(INDEX(Lists!$B$2:$B$12,MATCH($C214,Lists!$A$2:$A$12,0)),"Unmapped")</f>
        <v>Follow Up</v>
      </c>
      <c r="E214" s="4" t="n">
        <f aca="false">IFERROR(LOOKUP(2,1/((Interaction_Log!$B$2:$B$3000=$A214)*(Interaction_Log!$G$2:$G$3000&lt;&gt;"")),Interaction_Log!$G$2:$G$3000),"")</f>
        <v>46255</v>
      </c>
      <c r="F214" s="5" t="str">
        <f aca="false">IFERROR(INDEX(Lists!$C$2:$C$12,MATCH($C214,Lists!$A$2:$A$12,0)),"")</f>
        <v>High</v>
      </c>
      <c r="G214" s="5" t="str">
        <f aca="false">IFERROR(INDEX(Lists!$D$2:$D$12,MATCH($C214,Lists!$A$2:$A$12,0)),"")</f>
        <v>Call</v>
      </c>
      <c r="H214" s="5" t="str">
        <f aca="false">IF(OR($D214="Converted",$D214="Closed"),"—",IF($E214="","Not Scheduled",IF($E214&lt;CRM_Dashboard!$B$3,"Overdue",IF($E214=CRM_Dashboard!$B$3,"Due Today","Upcoming"))))</f>
        <v>Overdue</v>
      </c>
      <c r="I214" s="5" t="n">
        <f aca="false">COUNTIF(Interaction_Log!$B$2:$B$3000,$A214)</f>
        <v>2</v>
      </c>
      <c r="J214" s="5" t="str">
        <f aca="false">IF(COUNTIFS(Interaction_Log!$B$2:$B$3000,$A214,Interaction_Log!$E$2:$E$3000,"Details Sent")&gt;0,"Yes","No")</f>
        <v>No</v>
      </c>
      <c r="K214" s="2" t="str">
        <f aca="false">IF(AND(COUNTIFS(Interaction_Log!$B$2:$B$3000,$A214,Interaction_Log!$E$2:$E$3000,"Paid")&gt;0,$C214&lt;&gt;"Paid"),"Paid then re-opened","")</f>
        <v/>
      </c>
    </row>
    <row r="215" customFormat="false" ht="15" hidden="false" customHeight="false" outlineLevel="0" collapsed="false">
      <c r="A215" s="2" t="s">
        <v>847</v>
      </c>
      <c r="B215" s="2" t="str">
        <f aca="false">IFERROR(INDEX(Lead_Master!$B$2:$B$1000,MATCH($A215,Lead_Master!$A$2:$A$1000,0)),"")</f>
        <v>Shreya Sinha</v>
      </c>
      <c r="C215" s="2" t="str">
        <f aca="false">IFERROR(LOOKUP(2,1/(Interaction_Log!$B$2:$B$3000=$A215),Interaction_Log!$E$2:$E$3000),"No contact")</f>
        <v>Call Back Later</v>
      </c>
      <c r="D215" s="5" t="str">
        <f aca="false">IFERROR(INDEX(Lists!$B$2:$B$12,MATCH($C215,Lists!$A$2:$A$12,0)),"Unmapped")</f>
        <v>Pending</v>
      </c>
      <c r="E215" s="4" t="n">
        <f aca="false">IFERROR(LOOKUP(2,1/((Interaction_Log!$B$2:$B$3000=$A215)*(Interaction_Log!$G$2:$G$3000&lt;&gt;"")),Interaction_Log!$G$2:$G$3000),"")</f>
        <v>46221</v>
      </c>
      <c r="F215" s="5" t="str">
        <f aca="false">IFERROR(INDEX(Lists!$C$2:$C$12,MATCH($C215,Lists!$A$2:$A$12,0)),"")</f>
        <v>Medium</v>
      </c>
      <c r="G215" s="5" t="str">
        <f aca="false">IFERROR(INDEX(Lists!$D$2:$D$12,MATCH($C215,Lists!$A$2:$A$12,0)),"")</f>
        <v>Call</v>
      </c>
      <c r="H215" s="5" t="str">
        <f aca="false">IF(OR($D215="Converted",$D215="Closed"),"—",IF($E215="","Not Scheduled",IF($E215&lt;CRM_Dashboard!$B$3,"Overdue",IF($E215=CRM_Dashboard!$B$3,"Due Today","Upcoming"))))</f>
        <v>Overdue</v>
      </c>
      <c r="I215" s="5" t="n">
        <f aca="false">COUNTIF(Interaction_Log!$B$2:$B$3000,$A215)</f>
        <v>4</v>
      </c>
      <c r="J215" s="5" t="str">
        <f aca="false">IF(COUNTIFS(Interaction_Log!$B$2:$B$3000,$A215,Interaction_Log!$E$2:$E$3000,"Details Sent")&gt;0,"Yes","No")</f>
        <v>Yes</v>
      </c>
      <c r="K215" s="2" t="str">
        <f aca="false">IF(AND(COUNTIFS(Interaction_Log!$B$2:$B$3000,$A215,Interaction_Log!$E$2:$E$3000,"Paid")&gt;0,$C215&lt;&gt;"Paid"),"Paid then re-opened","")</f>
        <v>Paid then re-opened</v>
      </c>
    </row>
    <row r="216" customFormat="false" ht="15" hidden="false" customHeight="false" outlineLevel="0" collapsed="false">
      <c r="A216" s="2" t="s">
        <v>850</v>
      </c>
      <c r="B216" s="2" t="str">
        <f aca="false">IFERROR(INDEX(Lead_Master!$B$2:$B$1000,MATCH($A216,Lead_Master!$A$2:$A$1000,0)),"")</f>
        <v>Varun Verma</v>
      </c>
      <c r="C216" s="2" t="str">
        <f aca="false">IFERROR(LOOKUP(2,1/(Interaction_Log!$B$2:$B$3000=$A216),Interaction_Log!$E$2:$E$3000),"No contact")</f>
        <v>DNP</v>
      </c>
      <c r="D216" s="5" t="str">
        <f aca="false">IFERROR(INDEX(Lists!$B$2:$B$12,MATCH($C216,Lists!$A$2:$A$12,0)),"Unmapped")</f>
        <v>Pending</v>
      </c>
      <c r="E216" s="4" t="str">
        <f aca="false">IFERROR(LOOKUP(2,1/((Interaction_Log!$B$2:$B$3000=$A216)*(Interaction_Log!$G$2:$G$3000&lt;&gt;"")),Interaction_Log!$G$2:$G$3000),"")</f>
        <v/>
      </c>
      <c r="F216" s="5" t="str">
        <f aca="false">IFERROR(INDEX(Lists!$C$2:$C$12,MATCH($C216,Lists!$A$2:$A$12,0)),"")</f>
        <v>Low</v>
      </c>
      <c r="G216" s="5" t="str">
        <f aca="false">IFERROR(INDEX(Lists!$D$2:$D$12,MATCH($C216,Lists!$A$2:$A$12,0)),"")</f>
        <v>Retry</v>
      </c>
      <c r="H216" s="5" t="str">
        <f aca="false">IF(OR($D216="Converted",$D216="Closed"),"—",IF($E216="","Not Scheduled",IF($E216&lt;CRM_Dashboard!$B$3,"Overdue",IF($E216=CRM_Dashboard!$B$3,"Due Today","Upcoming"))))</f>
        <v>Not Scheduled</v>
      </c>
      <c r="I216" s="5" t="n">
        <f aca="false">COUNTIF(Interaction_Log!$B$2:$B$3000,$A216)</f>
        <v>4</v>
      </c>
      <c r="J216" s="5" t="str">
        <f aca="false">IF(COUNTIFS(Interaction_Log!$B$2:$B$3000,$A216,Interaction_Log!$E$2:$E$3000,"Details Sent")&gt;0,"Yes","No")</f>
        <v>Yes</v>
      </c>
      <c r="K216" s="2" t="str">
        <f aca="false">IF(AND(COUNTIFS(Interaction_Log!$B$2:$B$3000,$A216,Interaction_Log!$E$2:$E$3000,"Paid")&gt;0,$C216&lt;&gt;"Paid"),"Paid then re-opened","")</f>
        <v/>
      </c>
    </row>
    <row r="217" customFormat="false" ht="15" hidden="false" customHeight="false" outlineLevel="0" collapsed="false">
      <c r="A217" s="2" t="s">
        <v>853</v>
      </c>
      <c r="B217" s="2" t="str">
        <f aca="false">IFERROR(INDEX(Lead_Master!$B$2:$B$1000,MATCH($A217,Lead_Master!$A$2:$A$1000,0)),"")</f>
        <v>Muskan Jain</v>
      </c>
      <c r="C217" s="2" t="str">
        <f aca="false">IFERROR(LOOKUP(2,1/(Interaction_Log!$B$2:$B$3000=$A217),Interaction_Log!$E$2:$E$3000),"No contact")</f>
        <v>DNP</v>
      </c>
      <c r="D217" s="5" t="str">
        <f aca="false">IFERROR(INDEX(Lists!$B$2:$B$12,MATCH($C217,Lists!$A$2:$A$12,0)),"Unmapped")</f>
        <v>Pending</v>
      </c>
      <c r="E217" s="4" t="str">
        <f aca="false">IFERROR(LOOKUP(2,1/((Interaction_Log!$B$2:$B$3000=$A217)*(Interaction_Log!$G$2:$G$3000&lt;&gt;"")),Interaction_Log!$G$2:$G$3000),"")</f>
        <v/>
      </c>
      <c r="F217" s="5" t="str">
        <f aca="false">IFERROR(INDEX(Lists!$C$2:$C$12,MATCH($C217,Lists!$A$2:$A$12,0)),"")</f>
        <v>Low</v>
      </c>
      <c r="G217" s="5" t="str">
        <f aca="false">IFERROR(INDEX(Lists!$D$2:$D$12,MATCH($C217,Lists!$A$2:$A$12,0)),"")</f>
        <v>Retry</v>
      </c>
      <c r="H217" s="5" t="str">
        <f aca="false">IF(OR($D217="Converted",$D217="Closed"),"—",IF($E217="","Not Scheduled",IF($E217&lt;CRM_Dashboard!$B$3,"Overdue",IF($E217=CRM_Dashboard!$B$3,"Due Today","Upcoming"))))</f>
        <v>Not Scheduled</v>
      </c>
      <c r="I217" s="5" t="n">
        <f aca="false">COUNTIF(Interaction_Log!$B$2:$B$3000,$A217)</f>
        <v>1</v>
      </c>
      <c r="J217" s="5" t="str">
        <f aca="false">IF(COUNTIFS(Interaction_Log!$B$2:$B$3000,$A217,Interaction_Log!$E$2:$E$3000,"Details Sent")&gt;0,"Yes","No")</f>
        <v>No</v>
      </c>
      <c r="K217" s="2" t="str">
        <f aca="false">IF(AND(COUNTIFS(Interaction_Log!$B$2:$B$3000,$A217,Interaction_Log!$E$2:$E$3000,"Paid")&gt;0,$C217&lt;&gt;"Paid"),"Paid then re-opened","")</f>
        <v/>
      </c>
    </row>
    <row r="218" customFormat="false" ht="15" hidden="false" customHeight="false" outlineLevel="0" collapsed="false">
      <c r="A218" s="2" t="s">
        <v>857</v>
      </c>
      <c r="B218" s="2" t="str">
        <f aca="false">IFERROR(INDEX(Lead_Master!$B$2:$B$1000,MATCH($A218,Lead_Master!$A$2:$A$1000,0)),"")</f>
        <v>Pooja Gupta</v>
      </c>
      <c r="C218" s="2" t="str">
        <f aca="false">IFERROR(LOOKUP(2,1/(Interaction_Log!$B$2:$B$3000=$A218),Interaction_Log!$E$2:$E$3000),"No contact")</f>
        <v>Call Back Later</v>
      </c>
      <c r="D218" s="5" t="str">
        <f aca="false">IFERROR(INDEX(Lists!$B$2:$B$12,MATCH($C218,Lists!$A$2:$A$12,0)),"Unmapped")</f>
        <v>Pending</v>
      </c>
      <c r="E218" s="4" t="n">
        <f aca="false">IFERROR(LOOKUP(2,1/((Interaction_Log!$B$2:$B$3000=$A218)*(Interaction_Log!$G$2:$G$3000&lt;&gt;"")),Interaction_Log!$G$2:$G$3000),"")</f>
        <v>46297</v>
      </c>
      <c r="F218" s="5" t="str">
        <f aca="false">IFERROR(INDEX(Lists!$C$2:$C$12,MATCH($C218,Lists!$A$2:$A$12,0)),"")</f>
        <v>Medium</v>
      </c>
      <c r="G218" s="5" t="str">
        <f aca="false">IFERROR(INDEX(Lists!$D$2:$D$12,MATCH($C218,Lists!$A$2:$A$12,0)),"")</f>
        <v>Call</v>
      </c>
      <c r="H218" s="5" t="str">
        <f aca="false">IF(OR($D218="Converted",$D218="Closed"),"—",IF($E218="","Not Scheduled",IF($E218&lt;CRM_Dashboard!$B$3,"Overdue",IF($E218=CRM_Dashboard!$B$3,"Due Today","Upcoming"))))</f>
        <v>Upcoming</v>
      </c>
      <c r="I218" s="5" t="n">
        <f aca="false">COUNTIF(Interaction_Log!$B$2:$B$3000,$A218)</f>
        <v>2</v>
      </c>
      <c r="J218" s="5" t="str">
        <f aca="false">IF(COUNTIFS(Interaction_Log!$B$2:$B$3000,$A218,Interaction_Log!$E$2:$E$3000,"Details Sent")&gt;0,"Yes","No")</f>
        <v>No</v>
      </c>
      <c r="K218" s="2" t="str">
        <f aca="false">IF(AND(COUNTIFS(Interaction_Log!$B$2:$B$3000,$A218,Interaction_Log!$E$2:$E$3000,"Paid")&gt;0,$C218&lt;&gt;"Paid"),"Paid then re-opened","")</f>
        <v/>
      </c>
    </row>
    <row r="219" customFormat="false" ht="15" hidden="false" customHeight="false" outlineLevel="0" collapsed="false">
      <c r="A219" s="2" t="s">
        <v>861</v>
      </c>
      <c r="B219" s="2" t="str">
        <f aca="false">IFERROR(INDEX(Lead_Master!$B$2:$B$1000,MATCH($A219,Lead_Master!$A$2:$A$1000,0)),"")</f>
        <v>Aditya Mehta</v>
      </c>
      <c r="C219" s="2" t="str">
        <f aca="false">IFERROR(LOOKUP(2,1/(Interaction_Log!$B$2:$B$3000=$A219),Interaction_Log!$E$2:$E$3000),"No contact")</f>
        <v>Details Sent</v>
      </c>
      <c r="D219" s="5" t="str">
        <f aca="false">IFERROR(INDEX(Lists!$B$2:$B$12,MATCH($C219,Lists!$A$2:$A$12,0)),"Unmapped")</f>
        <v>Follow Up</v>
      </c>
      <c r="E219" s="4" t="n">
        <f aca="false">IFERROR(LOOKUP(2,1/((Interaction_Log!$B$2:$B$3000=$A219)*(Interaction_Log!$G$2:$G$3000&lt;&gt;"")),Interaction_Log!$G$2:$G$3000),"")</f>
        <v>46286</v>
      </c>
      <c r="F219" s="5" t="str">
        <f aca="false">IFERROR(INDEX(Lists!$C$2:$C$12,MATCH($C219,Lists!$A$2:$A$12,0)),"")</f>
        <v>High</v>
      </c>
      <c r="G219" s="5" t="str">
        <f aca="false">IFERROR(INDEX(Lists!$D$2:$D$12,MATCH($C219,Lists!$A$2:$A$12,0)),"")</f>
        <v>Call</v>
      </c>
      <c r="H219" s="5" t="str">
        <f aca="false">IF(OR($D219="Converted",$D219="Closed"),"—",IF($E219="","Not Scheduled",IF($E219&lt;CRM_Dashboard!$B$3,"Overdue",IF($E219=CRM_Dashboard!$B$3,"Due Today","Upcoming"))))</f>
        <v>Overdue</v>
      </c>
      <c r="I219" s="5" t="n">
        <f aca="false">COUNTIF(Interaction_Log!$B$2:$B$3000,$A219)</f>
        <v>3</v>
      </c>
      <c r="J219" s="5" t="str">
        <f aca="false">IF(COUNTIFS(Interaction_Log!$B$2:$B$3000,$A219,Interaction_Log!$E$2:$E$3000,"Details Sent")&gt;0,"Yes","No")</f>
        <v>Yes</v>
      </c>
      <c r="K219" s="2" t="str">
        <f aca="false">IF(AND(COUNTIFS(Interaction_Log!$B$2:$B$3000,$A219,Interaction_Log!$E$2:$E$3000,"Paid")&gt;0,$C219&lt;&gt;"Paid"),"Paid then re-opened","")</f>
        <v/>
      </c>
    </row>
    <row r="220" customFormat="false" ht="15" hidden="false" customHeight="false" outlineLevel="0" collapsed="false">
      <c r="A220" s="2" t="s">
        <v>864</v>
      </c>
      <c r="B220" s="2" t="str">
        <f aca="false">IFERROR(INDEX(Lead_Master!$B$2:$B$1000,MATCH($A220,Lead_Master!$A$2:$A$1000,0)),"")</f>
        <v>Nidhi Jain</v>
      </c>
      <c r="C220" s="2" t="str">
        <f aca="false">IFERROR(LOOKUP(2,1/(Interaction_Log!$B$2:$B$3000=$A220),Interaction_Log!$E$2:$E$3000),"No contact")</f>
        <v>DNP</v>
      </c>
      <c r="D220" s="5" t="str">
        <f aca="false">IFERROR(INDEX(Lists!$B$2:$B$12,MATCH($C220,Lists!$A$2:$A$12,0)),"Unmapped")</f>
        <v>Pending</v>
      </c>
      <c r="E220" s="4" t="str">
        <f aca="false">IFERROR(LOOKUP(2,1/((Interaction_Log!$B$2:$B$3000=$A220)*(Interaction_Log!$G$2:$G$3000&lt;&gt;"")),Interaction_Log!$G$2:$G$3000),"")</f>
        <v/>
      </c>
      <c r="F220" s="5" t="str">
        <f aca="false">IFERROR(INDEX(Lists!$C$2:$C$12,MATCH($C220,Lists!$A$2:$A$12,0)),"")</f>
        <v>Low</v>
      </c>
      <c r="G220" s="5" t="str">
        <f aca="false">IFERROR(INDEX(Lists!$D$2:$D$12,MATCH($C220,Lists!$A$2:$A$12,0)),"")</f>
        <v>Retry</v>
      </c>
      <c r="H220" s="5" t="str">
        <f aca="false">IF(OR($D220="Converted",$D220="Closed"),"—",IF($E220="","Not Scheduled",IF($E220&lt;CRM_Dashboard!$B$3,"Overdue",IF($E220=CRM_Dashboard!$B$3,"Due Today","Upcoming"))))</f>
        <v>Not Scheduled</v>
      </c>
      <c r="I220" s="5" t="n">
        <f aca="false">COUNTIF(Interaction_Log!$B$2:$B$3000,$A220)</f>
        <v>1</v>
      </c>
      <c r="J220" s="5" t="str">
        <f aca="false">IF(COUNTIFS(Interaction_Log!$B$2:$B$3000,$A220,Interaction_Log!$E$2:$E$3000,"Details Sent")&gt;0,"Yes","No")</f>
        <v>No</v>
      </c>
      <c r="K220" s="2" t="str">
        <f aca="false">IF(AND(COUNTIFS(Interaction_Log!$B$2:$B$3000,$A220,Interaction_Log!$E$2:$E$3000,"Paid")&gt;0,$C220&lt;&gt;"Paid"),"Paid then re-opened","")</f>
        <v/>
      </c>
    </row>
    <row r="221" customFormat="false" ht="15" hidden="false" customHeight="false" outlineLevel="0" collapsed="false">
      <c r="A221" s="2" t="s">
        <v>867</v>
      </c>
      <c r="B221" s="2" t="str">
        <f aca="false">IFERROR(INDEX(Lead_Master!$B$2:$B$1000,MATCH($A221,Lead_Master!$A$2:$A$1000,0)),"")</f>
        <v>Arjun Verma</v>
      </c>
      <c r="C221" s="2" t="str">
        <f aca="false">IFERROR(LOOKUP(2,1/(Interaction_Log!$B$2:$B$3000=$A221),Interaction_Log!$E$2:$E$3000),"No contact")</f>
        <v>Call Back Later</v>
      </c>
      <c r="D221" s="5" t="str">
        <f aca="false">IFERROR(INDEX(Lists!$B$2:$B$12,MATCH($C221,Lists!$A$2:$A$12,0)),"Unmapped")</f>
        <v>Pending</v>
      </c>
      <c r="E221" s="4" t="n">
        <f aca="false">IFERROR(LOOKUP(2,1/((Interaction_Log!$B$2:$B$3000=$A221)*(Interaction_Log!$G$2:$G$3000&lt;&gt;"")),Interaction_Log!$G$2:$G$3000),"")</f>
        <v>46220</v>
      </c>
      <c r="F221" s="5" t="str">
        <f aca="false">IFERROR(INDEX(Lists!$C$2:$C$12,MATCH($C221,Lists!$A$2:$A$12,0)),"")</f>
        <v>Medium</v>
      </c>
      <c r="G221" s="5" t="str">
        <f aca="false">IFERROR(INDEX(Lists!$D$2:$D$12,MATCH($C221,Lists!$A$2:$A$12,0)),"")</f>
        <v>Call</v>
      </c>
      <c r="H221" s="5" t="str">
        <f aca="false">IF(OR($D221="Converted",$D221="Closed"),"—",IF($E221="","Not Scheduled",IF($E221&lt;CRM_Dashboard!$B$3,"Overdue",IF($E221=CRM_Dashboard!$B$3,"Due Today","Upcoming"))))</f>
        <v>Overdue</v>
      </c>
      <c r="I221" s="5" t="n">
        <f aca="false">COUNTIF(Interaction_Log!$B$2:$B$3000,$A221)</f>
        <v>1</v>
      </c>
      <c r="J221" s="5" t="str">
        <f aca="false">IF(COUNTIFS(Interaction_Log!$B$2:$B$3000,$A221,Interaction_Log!$E$2:$E$3000,"Details Sent")&gt;0,"Yes","No")</f>
        <v>No</v>
      </c>
      <c r="K221" s="2" t="str">
        <f aca="false">IF(AND(COUNTIFS(Interaction_Log!$B$2:$B$3000,$A221,Interaction_Log!$E$2:$E$3000,"Paid")&gt;0,$C221&lt;&gt;"Paid"),"Paid then re-opened","")</f>
        <v/>
      </c>
    </row>
    <row r="222" customFormat="false" ht="15" hidden="false" customHeight="false" outlineLevel="0" collapsed="false">
      <c r="A222" s="2" t="s">
        <v>871</v>
      </c>
      <c r="B222" s="2" t="str">
        <f aca="false">IFERROR(INDEX(Lead_Master!$B$2:$B$1000,MATCH($A222,Lead_Master!$A$2:$A$1000,0)),"")</f>
        <v>Aman Jain</v>
      </c>
      <c r="C222" s="2" t="str">
        <f aca="false">IFERROR(LOOKUP(2,1/(Interaction_Log!$B$2:$B$3000=$A222),Interaction_Log!$E$2:$E$3000),"No contact")</f>
        <v>Paid</v>
      </c>
      <c r="D222" s="5" t="str">
        <f aca="false">IFERROR(INDEX(Lists!$B$2:$B$12,MATCH($C222,Lists!$A$2:$A$12,0)),"Unmapped")</f>
        <v>Converted</v>
      </c>
      <c r="E222" s="4" t="str">
        <f aca="false">IFERROR(LOOKUP(2,1/((Interaction_Log!$B$2:$B$3000=$A222)*(Interaction_Log!$G$2:$G$3000&lt;&gt;"")),Interaction_Log!$G$2:$G$3000),"")</f>
        <v/>
      </c>
      <c r="F222" s="5" t="str">
        <f aca="false">IFERROR(INDEX(Lists!$C$2:$C$12,MATCH($C222,Lists!$A$2:$A$12,0)),"")</f>
        <v>—</v>
      </c>
      <c r="G222" s="5" t="str">
        <f aca="false">IFERROR(INDEX(Lists!$D$2:$D$12,MATCH($C222,Lists!$A$2:$A$12,0)),"")</f>
        <v>Onboard</v>
      </c>
      <c r="H222" s="5" t="str">
        <f aca="false">IF(OR($D222="Converted",$D222="Closed"),"—",IF($E222="","Not Scheduled",IF($E222&lt;CRM_Dashboard!$B$3,"Overdue",IF($E222=CRM_Dashboard!$B$3,"Due Today","Upcoming"))))</f>
        <v>—</v>
      </c>
      <c r="I222" s="5" t="n">
        <f aca="false">COUNTIF(Interaction_Log!$B$2:$B$3000,$A222)</f>
        <v>4</v>
      </c>
      <c r="J222" s="5" t="str">
        <f aca="false">IF(COUNTIFS(Interaction_Log!$B$2:$B$3000,$A222,Interaction_Log!$E$2:$E$3000,"Details Sent")&gt;0,"Yes","No")</f>
        <v>No</v>
      </c>
      <c r="K222" s="2" t="str">
        <f aca="false">IF(AND(COUNTIFS(Interaction_Log!$B$2:$B$3000,$A222,Interaction_Log!$E$2:$E$3000,"Paid")&gt;0,$C222&lt;&gt;"Paid"),"Paid then re-opened","")</f>
        <v/>
      </c>
    </row>
    <row r="223" customFormat="false" ht="15" hidden="false" customHeight="false" outlineLevel="0" collapsed="false">
      <c r="A223" s="2" t="s">
        <v>874</v>
      </c>
      <c r="B223" s="2" t="str">
        <f aca="false">IFERROR(INDEX(Lead_Master!$B$2:$B$1000,MATCH($A223,Lead_Master!$A$2:$A$1000,0)),"")</f>
        <v>Simran Mehta</v>
      </c>
      <c r="C223" s="2" t="str">
        <f aca="false">IFERROR(LOOKUP(2,1/(Interaction_Log!$B$2:$B$3000=$A223),Interaction_Log!$E$2:$E$3000),"No contact")</f>
        <v>Follow Up</v>
      </c>
      <c r="D223" s="5" t="str">
        <f aca="false">IFERROR(INDEX(Lists!$B$2:$B$12,MATCH($C223,Lists!$A$2:$A$12,0)),"Unmapped")</f>
        <v>Follow Up</v>
      </c>
      <c r="E223" s="4" t="n">
        <f aca="false">IFERROR(LOOKUP(2,1/((Interaction_Log!$B$2:$B$3000=$A223)*(Interaction_Log!$G$2:$G$3000&lt;&gt;"")),Interaction_Log!$G$2:$G$3000),"")</f>
        <v>46254</v>
      </c>
      <c r="F223" s="5" t="str">
        <f aca="false">IFERROR(INDEX(Lists!$C$2:$C$12,MATCH($C223,Lists!$A$2:$A$12,0)),"")</f>
        <v>High</v>
      </c>
      <c r="G223" s="5" t="str">
        <f aca="false">IFERROR(INDEX(Lists!$D$2:$D$12,MATCH($C223,Lists!$A$2:$A$12,0)),"")</f>
        <v>Call</v>
      </c>
      <c r="H223" s="5" t="str">
        <f aca="false">IF(OR($D223="Converted",$D223="Closed"),"—",IF($E223="","Not Scheduled",IF($E223&lt;CRM_Dashboard!$B$3,"Overdue",IF($E223=CRM_Dashboard!$B$3,"Due Today","Upcoming"))))</f>
        <v>Overdue</v>
      </c>
      <c r="I223" s="5" t="n">
        <f aca="false">COUNTIF(Interaction_Log!$B$2:$B$3000,$A223)</f>
        <v>2</v>
      </c>
      <c r="J223" s="5" t="str">
        <f aca="false">IF(COUNTIFS(Interaction_Log!$B$2:$B$3000,$A223,Interaction_Log!$E$2:$E$3000,"Details Sent")&gt;0,"Yes","No")</f>
        <v>No</v>
      </c>
      <c r="K223" s="2" t="str">
        <f aca="false">IF(AND(COUNTIFS(Interaction_Log!$B$2:$B$3000,$A223,Interaction_Log!$E$2:$E$3000,"Paid")&gt;0,$C223&lt;&gt;"Paid"),"Paid then re-opened","")</f>
        <v/>
      </c>
    </row>
    <row r="224" customFormat="false" ht="15" hidden="false" customHeight="false" outlineLevel="0" collapsed="false">
      <c r="A224" s="2" t="s">
        <v>878</v>
      </c>
      <c r="B224" s="2" t="str">
        <f aca="false">IFERROR(INDEX(Lead_Master!$B$2:$B$1000,MATCH($A224,Lead_Master!$A$2:$A$1000,0)),"")</f>
        <v>Varun Rathore</v>
      </c>
      <c r="C224" s="2" t="str">
        <f aca="false">IFERROR(LOOKUP(2,1/(Interaction_Log!$B$2:$B$3000=$A224),Interaction_Log!$E$2:$E$3000),"No contact")</f>
        <v>DNP</v>
      </c>
      <c r="D224" s="5" t="str">
        <f aca="false">IFERROR(INDEX(Lists!$B$2:$B$12,MATCH($C224,Lists!$A$2:$A$12,0)),"Unmapped")</f>
        <v>Pending</v>
      </c>
      <c r="E224" s="4" t="str">
        <f aca="false">IFERROR(LOOKUP(2,1/((Interaction_Log!$B$2:$B$3000=$A224)*(Interaction_Log!$G$2:$G$3000&lt;&gt;"")),Interaction_Log!$G$2:$G$3000),"")</f>
        <v/>
      </c>
      <c r="F224" s="5" t="str">
        <f aca="false">IFERROR(INDEX(Lists!$C$2:$C$12,MATCH($C224,Lists!$A$2:$A$12,0)),"")</f>
        <v>Low</v>
      </c>
      <c r="G224" s="5" t="str">
        <f aca="false">IFERROR(INDEX(Lists!$D$2:$D$12,MATCH($C224,Lists!$A$2:$A$12,0)),"")</f>
        <v>Retry</v>
      </c>
      <c r="H224" s="5" t="str">
        <f aca="false">IF(OR($D224="Converted",$D224="Closed"),"—",IF($E224="","Not Scheduled",IF($E224&lt;CRM_Dashboard!$B$3,"Overdue",IF($E224=CRM_Dashboard!$B$3,"Due Today","Upcoming"))))</f>
        <v>Not Scheduled</v>
      </c>
      <c r="I224" s="5" t="n">
        <f aca="false">COUNTIF(Interaction_Log!$B$2:$B$3000,$A224)</f>
        <v>3</v>
      </c>
      <c r="J224" s="5" t="str">
        <f aca="false">IF(COUNTIFS(Interaction_Log!$B$2:$B$3000,$A224,Interaction_Log!$E$2:$E$3000,"Details Sent")&gt;0,"Yes","No")</f>
        <v>No</v>
      </c>
      <c r="K224" s="2" t="str">
        <f aca="false">IF(AND(COUNTIFS(Interaction_Log!$B$2:$B$3000,$A224,Interaction_Log!$E$2:$E$3000,"Paid")&gt;0,$C224&lt;&gt;"Paid"),"Paid then re-opened","")</f>
        <v/>
      </c>
    </row>
    <row r="225" customFormat="false" ht="15" hidden="false" customHeight="false" outlineLevel="0" collapsed="false">
      <c r="A225" s="2" t="s">
        <v>881</v>
      </c>
      <c r="B225" s="2" t="str">
        <f aca="false">IFERROR(INDEX(Lead_Master!$B$2:$B$1000,MATCH($A225,Lead_Master!$A$2:$A$1000,0)),"")</f>
        <v>Karan Mishra</v>
      </c>
      <c r="C225" s="2" t="str">
        <f aca="false">IFERROR(LOOKUP(2,1/(Interaction_Log!$B$2:$B$3000=$A225),Interaction_Log!$E$2:$E$3000),"No contact")</f>
        <v>Details Sent</v>
      </c>
      <c r="D225" s="5" t="str">
        <f aca="false">IFERROR(INDEX(Lists!$B$2:$B$12,MATCH($C225,Lists!$A$2:$A$12,0)),"Unmapped")</f>
        <v>Follow Up</v>
      </c>
      <c r="E225" s="4" t="n">
        <f aca="false">IFERROR(LOOKUP(2,1/((Interaction_Log!$B$2:$B$3000=$A225)*(Interaction_Log!$G$2:$G$3000&lt;&gt;"")),Interaction_Log!$G$2:$G$3000),"")</f>
        <v>46291</v>
      </c>
      <c r="F225" s="5" t="str">
        <f aca="false">IFERROR(INDEX(Lists!$C$2:$C$12,MATCH($C225,Lists!$A$2:$A$12,0)),"")</f>
        <v>High</v>
      </c>
      <c r="G225" s="5" t="str">
        <f aca="false">IFERROR(INDEX(Lists!$D$2:$D$12,MATCH($C225,Lists!$A$2:$A$12,0)),"")</f>
        <v>Call</v>
      </c>
      <c r="H225" s="5" t="str">
        <f aca="false">IF(OR($D225="Converted",$D225="Closed"),"—",IF($E225="","Not Scheduled",IF($E225&lt;CRM_Dashboard!$B$3,"Overdue",IF($E225=CRM_Dashboard!$B$3,"Due Today","Upcoming"))))</f>
        <v>Overdue</v>
      </c>
      <c r="I225" s="5" t="n">
        <f aca="false">COUNTIF(Interaction_Log!$B$2:$B$3000,$A225)</f>
        <v>1</v>
      </c>
      <c r="J225" s="5" t="str">
        <f aca="false">IF(COUNTIFS(Interaction_Log!$B$2:$B$3000,$A225,Interaction_Log!$E$2:$E$3000,"Details Sent")&gt;0,"Yes","No")</f>
        <v>Yes</v>
      </c>
      <c r="K225" s="2" t="str">
        <f aca="false">IF(AND(COUNTIFS(Interaction_Log!$B$2:$B$3000,$A225,Interaction_Log!$E$2:$E$3000,"Paid")&gt;0,$C225&lt;&gt;"Paid"),"Paid then re-opened","")</f>
        <v/>
      </c>
    </row>
    <row r="226" customFormat="false" ht="15" hidden="false" customHeight="false" outlineLevel="0" collapsed="false">
      <c r="A226" s="2" t="s">
        <v>884</v>
      </c>
      <c r="B226" s="2" t="str">
        <f aca="false">IFERROR(INDEX(Lead_Master!$B$2:$B$1000,MATCH($A226,Lead_Master!$A$2:$A$1000,0)),"")</f>
        <v>Tanya Mishra</v>
      </c>
      <c r="C226" s="2" t="str">
        <f aca="false">IFERROR(LOOKUP(2,1/(Interaction_Log!$B$2:$B$3000=$A226),Interaction_Log!$E$2:$E$3000),"No contact")</f>
        <v>Paid</v>
      </c>
      <c r="D226" s="5" t="str">
        <f aca="false">IFERROR(INDEX(Lists!$B$2:$B$12,MATCH($C226,Lists!$A$2:$A$12,0)),"Unmapped")</f>
        <v>Converted</v>
      </c>
      <c r="E226" s="4" t="str">
        <f aca="false">IFERROR(LOOKUP(2,1/((Interaction_Log!$B$2:$B$3000=$A226)*(Interaction_Log!$G$2:$G$3000&lt;&gt;"")),Interaction_Log!$G$2:$G$3000),"")</f>
        <v/>
      </c>
      <c r="F226" s="5" t="str">
        <f aca="false">IFERROR(INDEX(Lists!$C$2:$C$12,MATCH($C226,Lists!$A$2:$A$12,0)),"")</f>
        <v>—</v>
      </c>
      <c r="G226" s="5" t="str">
        <f aca="false">IFERROR(INDEX(Lists!$D$2:$D$12,MATCH($C226,Lists!$A$2:$A$12,0)),"")</f>
        <v>Onboard</v>
      </c>
      <c r="H226" s="5" t="str">
        <f aca="false">IF(OR($D226="Converted",$D226="Closed"),"—",IF($E226="","Not Scheduled",IF($E226&lt;CRM_Dashboard!$B$3,"Overdue",IF($E226=CRM_Dashboard!$B$3,"Due Today","Upcoming"))))</f>
        <v>—</v>
      </c>
      <c r="I226" s="5" t="n">
        <f aca="false">COUNTIF(Interaction_Log!$B$2:$B$3000,$A226)</f>
        <v>1</v>
      </c>
      <c r="J226" s="5" t="str">
        <f aca="false">IF(COUNTIFS(Interaction_Log!$B$2:$B$3000,$A226,Interaction_Log!$E$2:$E$3000,"Details Sent")&gt;0,"Yes","No")</f>
        <v>No</v>
      </c>
      <c r="K226" s="2" t="str">
        <f aca="false">IF(AND(COUNTIFS(Interaction_Log!$B$2:$B$3000,$A226,Interaction_Log!$E$2:$E$3000,"Paid")&gt;0,$C226&lt;&gt;"Paid"),"Paid then re-opened","")</f>
        <v/>
      </c>
    </row>
    <row r="227" customFormat="false" ht="15" hidden="false" customHeight="false" outlineLevel="0" collapsed="false">
      <c r="A227" s="2" t="s">
        <v>887</v>
      </c>
      <c r="B227" s="2" t="str">
        <f aca="false">IFERROR(INDEX(Lead_Master!$B$2:$B$1000,MATCH($A227,Lead_Master!$A$2:$A$1000,0)),"")</f>
        <v>Pooja Agarwal</v>
      </c>
      <c r="C227" s="2" t="str">
        <f aca="false">IFERROR(LOOKUP(2,1/(Interaction_Log!$B$2:$B$3000=$A227),Interaction_Log!$E$2:$E$3000),"No contact")</f>
        <v>Follow Up</v>
      </c>
      <c r="D227" s="5" t="str">
        <f aca="false">IFERROR(INDEX(Lists!$B$2:$B$12,MATCH($C227,Lists!$A$2:$A$12,0)),"Unmapped")</f>
        <v>Follow Up</v>
      </c>
      <c r="E227" s="4" t="n">
        <f aca="false">IFERROR(LOOKUP(2,1/((Interaction_Log!$B$2:$B$3000=$A227)*(Interaction_Log!$G$2:$G$3000&lt;&gt;"")),Interaction_Log!$G$2:$G$3000),"")</f>
        <v>46258</v>
      </c>
      <c r="F227" s="5" t="str">
        <f aca="false">IFERROR(INDEX(Lists!$C$2:$C$12,MATCH($C227,Lists!$A$2:$A$12,0)),"")</f>
        <v>High</v>
      </c>
      <c r="G227" s="5" t="str">
        <f aca="false">IFERROR(INDEX(Lists!$D$2:$D$12,MATCH($C227,Lists!$A$2:$A$12,0)),"")</f>
        <v>Call</v>
      </c>
      <c r="H227" s="5" t="str">
        <f aca="false">IF(OR($D227="Converted",$D227="Closed"),"—",IF($E227="","Not Scheduled",IF($E227&lt;CRM_Dashboard!$B$3,"Overdue",IF($E227=CRM_Dashboard!$B$3,"Due Today","Upcoming"))))</f>
        <v>Overdue</v>
      </c>
      <c r="I227" s="5" t="n">
        <f aca="false">COUNTIF(Interaction_Log!$B$2:$B$3000,$A227)</f>
        <v>1</v>
      </c>
      <c r="J227" s="5" t="str">
        <f aca="false">IF(COUNTIFS(Interaction_Log!$B$2:$B$3000,$A227,Interaction_Log!$E$2:$E$3000,"Details Sent")&gt;0,"Yes","No")</f>
        <v>No</v>
      </c>
      <c r="K227" s="2" t="str">
        <f aca="false">IF(AND(COUNTIFS(Interaction_Log!$B$2:$B$3000,$A227,Interaction_Log!$E$2:$E$3000,"Paid")&gt;0,$C227&lt;&gt;"Paid"),"Paid then re-opened","")</f>
        <v/>
      </c>
    </row>
    <row r="228" customFormat="false" ht="15" hidden="false" customHeight="false" outlineLevel="0" collapsed="false">
      <c r="A228" s="2" t="s">
        <v>890</v>
      </c>
      <c r="B228" s="2" t="str">
        <f aca="false">IFERROR(INDEX(Lead_Master!$B$2:$B$1000,MATCH($A228,Lead_Master!$A$2:$A$1000,0)),"")</f>
        <v>Abhishek Patel</v>
      </c>
      <c r="C228" s="2" t="str">
        <f aca="false">IFERROR(LOOKUP(2,1/(Interaction_Log!$B$2:$B$3000=$A228),Interaction_Log!$E$2:$E$3000),"No contact")</f>
        <v>Call Back Later</v>
      </c>
      <c r="D228" s="5" t="str">
        <f aca="false">IFERROR(INDEX(Lists!$B$2:$B$12,MATCH($C228,Lists!$A$2:$A$12,0)),"Unmapped")</f>
        <v>Pending</v>
      </c>
      <c r="E228" s="4" t="n">
        <f aca="false">IFERROR(LOOKUP(2,1/((Interaction_Log!$B$2:$B$3000=$A228)*(Interaction_Log!$G$2:$G$3000&lt;&gt;"")),Interaction_Log!$G$2:$G$3000),"")</f>
        <v>46258</v>
      </c>
      <c r="F228" s="5" t="str">
        <f aca="false">IFERROR(INDEX(Lists!$C$2:$C$12,MATCH($C228,Lists!$A$2:$A$12,0)),"")</f>
        <v>Medium</v>
      </c>
      <c r="G228" s="5" t="str">
        <f aca="false">IFERROR(INDEX(Lists!$D$2:$D$12,MATCH($C228,Lists!$A$2:$A$12,0)),"")</f>
        <v>Call</v>
      </c>
      <c r="H228" s="5" t="str">
        <f aca="false">IF(OR($D228="Converted",$D228="Closed"),"—",IF($E228="","Not Scheduled",IF($E228&lt;CRM_Dashboard!$B$3,"Overdue",IF($E228=CRM_Dashboard!$B$3,"Due Today","Upcoming"))))</f>
        <v>Overdue</v>
      </c>
      <c r="I228" s="5" t="n">
        <f aca="false">COUNTIF(Interaction_Log!$B$2:$B$3000,$A228)</f>
        <v>1</v>
      </c>
      <c r="J228" s="5" t="str">
        <f aca="false">IF(COUNTIFS(Interaction_Log!$B$2:$B$3000,$A228,Interaction_Log!$E$2:$E$3000,"Details Sent")&gt;0,"Yes","No")</f>
        <v>No</v>
      </c>
      <c r="K228" s="2" t="str">
        <f aca="false">IF(AND(COUNTIFS(Interaction_Log!$B$2:$B$3000,$A228,Interaction_Log!$E$2:$E$3000,"Paid")&gt;0,$C228&lt;&gt;"Paid"),"Paid then re-opened","")</f>
        <v/>
      </c>
    </row>
    <row r="229" customFormat="false" ht="15" hidden="false" customHeight="false" outlineLevel="0" collapsed="false">
      <c r="A229" s="2" t="s">
        <v>893</v>
      </c>
      <c r="B229" s="2" t="str">
        <f aca="false">IFERROR(INDEX(Lead_Master!$B$2:$B$1000,MATCH($A229,Lead_Master!$A$2:$A$1000,0)),"")</f>
        <v>Rohan Jain</v>
      </c>
      <c r="C229" s="2" t="str">
        <f aca="false">IFERROR(LOOKUP(2,1/(Interaction_Log!$B$2:$B$3000=$A229),Interaction_Log!$E$2:$E$3000),"No contact")</f>
        <v>Not Interested</v>
      </c>
      <c r="D229" s="5" t="str">
        <f aca="false">IFERROR(INDEX(Lists!$B$2:$B$12,MATCH($C229,Lists!$A$2:$A$12,0)),"Unmapped")</f>
        <v>Closed</v>
      </c>
      <c r="E229" s="4" t="str">
        <f aca="false">IFERROR(LOOKUP(2,1/((Interaction_Log!$B$2:$B$3000=$A229)*(Interaction_Log!$G$2:$G$3000&lt;&gt;"")),Interaction_Log!$G$2:$G$3000),"")</f>
        <v/>
      </c>
      <c r="F229" s="5" t="str">
        <f aca="false">IFERROR(INDEX(Lists!$C$2:$C$12,MATCH($C229,Lists!$A$2:$A$12,0)),"")</f>
        <v>—</v>
      </c>
      <c r="G229" s="5" t="str">
        <f aca="false">IFERROR(INDEX(Lists!$D$2:$D$12,MATCH($C229,Lists!$A$2:$A$12,0)),"")</f>
        <v>No action</v>
      </c>
      <c r="H229" s="5" t="str">
        <f aca="false">IF(OR($D229="Converted",$D229="Closed"),"—",IF($E229="","Not Scheduled",IF($E229&lt;CRM_Dashboard!$B$3,"Overdue",IF($E229=CRM_Dashboard!$B$3,"Due Today","Upcoming"))))</f>
        <v>—</v>
      </c>
      <c r="I229" s="5" t="n">
        <f aca="false">COUNTIF(Interaction_Log!$B$2:$B$3000,$A229)</f>
        <v>2</v>
      </c>
      <c r="J229" s="5" t="str">
        <f aca="false">IF(COUNTIFS(Interaction_Log!$B$2:$B$3000,$A229,Interaction_Log!$E$2:$E$3000,"Details Sent")&gt;0,"Yes","No")</f>
        <v>No</v>
      </c>
      <c r="K229" s="2" t="str">
        <f aca="false">IF(AND(COUNTIFS(Interaction_Log!$B$2:$B$3000,$A229,Interaction_Log!$E$2:$E$3000,"Paid")&gt;0,$C229&lt;&gt;"Paid"),"Paid then re-opened","")</f>
        <v/>
      </c>
    </row>
    <row r="230" customFormat="false" ht="15" hidden="false" customHeight="false" outlineLevel="0" collapsed="false">
      <c r="A230" s="2" t="s">
        <v>897</v>
      </c>
      <c r="B230" s="2" t="str">
        <f aca="false">IFERROR(INDEX(Lead_Master!$B$2:$B$1000,MATCH($A230,Lead_Master!$A$2:$A$1000,0)),"")</f>
        <v>Yash Sinha</v>
      </c>
      <c r="C230" s="2" t="str">
        <f aca="false">IFERROR(LOOKUP(2,1/(Interaction_Log!$B$2:$B$3000=$A230),Interaction_Log!$E$2:$E$3000),"No contact")</f>
        <v>Paid</v>
      </c>
      <c r="D230" s="5" t="str">
        <f aca="false">IFERROR(INDEX(Lists!$B$2:$B$12,MATCH($C230,Lists!$A$2:$A$12,0)),"Unmapped")</f>
        <v>Converted</v>
      </c>
      <c r="E230" s="4" t="str">
        <f aca="false">IFERROR(LOOKUP(2,1/((Interaction_Log!$B$2:$B$3000=$A230)*(Interaction_Log!$G$2:$G$3000&lt;&gt;"")),Interaction_Log!$G$2:$G$3000),"")</f>
        <v/>
      </c>
      <c r="F230" s="5" t="str">
        <f aca="false">IFERROR(INDEX(Lists!$C$2:$C$12,MATCH($C230,Lists!$A$2:$A$12,0)),"")</f>
        <v>—</v>
      </c>
      <c r="G230" s="5" t="str">
        <f aca="false">IFERROR(INDEX(Lists!$D$2:$D$12,MATCH($C230,Lists!$A$2:$A$12,0)),"")</f>
        <v>Onboard</v>
      </c>
      <c r="H230" s="5" t="str">
        <f aca="false">IF(OR($D230="Converted",$D230="Closed"),"—",IF($E230="","Not Scheduled",IF($E230&lt;CRM_Dashboard!$B$3,"Overdue",IF($E230=CRM_Dashboard!$B$3,"Due Today","Upcoming"))))</f>
        <v>—</v>
      </c>
      <c r="I230" s="5" t="n">
        <f aca="false">COUNTIF(Interaction_Log!$B$2:$B$3000,$A230)</f>
        <v>1</v>
      </c>
      <c r="J230" s="5" t="str">
        <f aca="false">IF(COUNTIFS(Interaction_Log!$B$2:$B$3000,$A230,Interaction_Log!$E$2:$E$3000,"Details Sent")&gt;0,"Yes","No")</f>
        <v>No</v>
      </c>
      <c r="K230" s="2" t="str">
        <f aca="false">IF(AND(COUNTIFS(Interaction_Log!$B$2:$B$3000,$A230,Interaction_Log!$E$2:$E$3000,"Paid")&gt;0,$C230&lt;&gt;"Paid"),"Paid then re-opened","")</f>
        <v/>
      </c>
    </row>
    <row r="231" customFormat="false" ht="15" hidden="false" customHeight="false" outlineLevel="0" collapsed="false">
      <c r="A231" s="2" t="s">
        <v>901</v>
      </c>
      <c r="B231" s="2" t="str">
        <f aca="false">IFERROR(INDEX(Lead_Master!$B$2:$B$1000,MATCH($A231,Lead_Master!$A$2:$A$1000,0)),"")</f>
        <v>Khushi Mishra</v>
      </c>
      <c r="C231" s="2" t="str">
        <f aca="false">IFERROR(LOOKUP(2,1/(Interaction_Log!$B$2:$B$3000=$A231),Interaction_Log!$E$2:$E$3000),"No contact")</f>
        <v>DNP</v>
      </c>
      <c r="D231" s="5" t="str">
        <f aca="false">IFERROR(INDEX(Lists!$B$2:$B$12,MATCH($C231,Lists!$A$2:$A$12,0)),"Unmapped")</f>
        <v>Pending</v>
      </c>
      <c r="E231" s="4" t="str">
        <f aca="false">IFERROR(LOOKUP(2,1/((Interaction_Log!$B$2:$B$3000=$A231)*(Interaction_Log!$G$2:$G$3000&lt;&gt;"")),Interaction_Log!$G$2:$G$3000),"")</f>
        <v/>
      </c>
      <c r="F231" s="5" t="str">
        <f aca="false">IFERROR(INDEX(Lists!$C$2:$C$12,MATCH($C231,Lists!$A$2:$A$12,0)),"")</f>
        <v>Low</v>
      </c>
      <c r="G231" s="5" t="str">
        <f aca="false">IFERROR(INDEX(Lists!$D$2:$D$12,MATCH($C231,Lists!$A$2:$A$12,0)),"")</f>
        <v>Retry</v>
      </c>
      <c r="H231" s="5" t="str">
        <f aca="false">IF(OR($D231="Converted",$D231="Closed"),"—",IF($E231="","Not Scheduled",IF($E231&lt;CRM_Dashboard!$B$3,"Overdue",IF($E231=CRM_Dashboard!$B$3,"Due Today","Upcoming"))))</f>
        <v>Not Scheduled</v>
      </c>
      <c r="I231" s="5" t="n">
        <f aca="false">COUNTIF(Interaction_Log!$B$2:$B$3000,$A231)</f>
        <v>3</v>
      </c>
      <c r="J231" s="5" t="str">
        <f aca="false">IF(COUNTIFS(Interaction_Log!$B$2:$B$3000,$A231,Interaction_Log!$E$2:$E$3000,"Details Sent")&gt;0,"Yes","No")</f>
        <v>No</v>
      </c>
      <c r="K231" s="2" t="str">
        <f aca="false">IF(AND(COUNTIFS(Interaction_Log!$B$2:$B$3000,$A231,Interaction_Log!$E$2:$E$3000,"Paid")&gt;0,$C231&lt;&gt;"Paid"),"Paid then re-opened","")</f>
        <v/>
      </c>
    </row>
    <row r="232" customFormat="false" ht="15" hidden="false" customHeight="false" outlineLevel="0" collapsed="false">
      <c r="A232" s="2" t="s">
        <v>904</v>
      </c>
      <c r="B232" s="2" t="str">
        <f aca="false">IFERROR(INDEX(Lead_Master!$B$2:$B$1000,MATCH($A232,Lead_Master!$A$2:$A$1000,0)),"")</f>
        <v>Aditya Rathore</v>
      </c>
      <c r="C232" s="2" t="str">
        <f aca="false">IFERROR(LOOKUP(2,1/(Interaction_Log!$B$2:$B$3000=$A232),Interaction_Log!$E$2:$E$3000),"No contact")</f>
        <v>Call Back Later</v>
      </c>
      <c r="D232" s="5" t="str">
        <f aca="false">IFERROR(INDEX(Lists!$B$2:$B$12,MATCH($C232,Lists!$A$2:$A$12,0)),"Unmapped")</f>
        <v>Pending</v>
      </c>
      <c r="E232" s="4" t="n">
        <f aca="false">IFERROR(LOOKUP(2,1/((Interaction_Log!$B$2:$B$3000=$A232)*(Interaction_Log!$G$2:$G$3000&lt;&gt;"")),Interaction_Log!$G$2:$G$3000),"")</f>
        <v>46208</v>
      </c>
      <c r="F232" s="5" t="str">
        <f aca="false">IFERROR(INDEX(Lists!$C$2:$C$12,MATCH($C232,Lists!$A$2:$A$12,0)),"")</f>
        <v>Medium</v>
      </c>
      <c r="G232" s="5" t="str">
        <f aca="false">IFERROR(INDEX(Lists!$D$2:$D$12,MATCH($C232,Lists!$A$2:$A$12,0)),"")</f>
        <v>Call</v>
      </c>
      <c r="H232" s="5" t="str">
        <f aca="false">IF(OR($D232="Converted",$D232="Closed"),"—",IF($E232="","Not Scheduled",IF($E232&lt;CRM_Dashboard!$B$3,"Overdue",IF($E232=CRM_Dashboard!$B$3,"Due Today","Upcoming"))))</f>
        <v>Overdue</v>
      </c>
      <c r="I232" s="5" t="n">
        <f aca="false">COUNTIF(Interaction_Log!$B$2:$B$3000,$A232)</f>
        <v>2</v>
      </c>
      <c r="J232" s="5" t="str">
        <f aca="false">IF(COUNTIFS(Interaction_Log!$B$2:$B$3000,$A232,Interaction_Log!$E$2:$E$3000,"Details Sent")&gt;0,"Yes","No")</f>
        <v>No</v>
      </c>
      <c r="K232" s="2" t="str">
        <f aca="false">IF(AND(COUNTIFS(Interaction_Log!$B$2:$B$3000,$A232,Interaction_Log!$E$2:$E$3000,"Paid")&gt;0,$C232&lt;&gt;"Paid"),"Paid then re-opened","")</f>
        <v/>
      </c>
    </row>
    <row r="233" customFormat="false" ht="15" hidden="false" customHeight="false" outlineLevel="0" collapsed="false">
      <c r="A233" s="2" t="s">
        <v>908</v>
      </c>
      <c r="B233" s="2" t="str">
        <f aca="false">IFERROR(INDEX(Lead_Master!$B$2:$B$1000,MATCH($A233,Lead_Master!$A$2:$A$1000,0)),"")</f>
        <v>Pooja Srivastava</v>
      </c>
      <c r="C233" s="2" t="str">
        <f aca="false">IFERROR(LOOKUP(2,1/(Interaction_Log!$B$2:$B$3000=$A233),Interaction_Log!$E$2:$E$3000),"No contact")</f>
        <v>DNP</v>
      </c>
      <c r="D233" s="5" t="str">
        <f aca="false">IFERROR(INDEX(Lists!$B$2:$B$12,MATCH($C233,Lists!$A$2:$A$12,0)),"Unmapped")</f>
        <v>Pending</v>
      </c>
      <c r="E233" s="4" t="str">
        <f aca="false">IFERROR(LOOKUP(2,1/((Interaction_Log!$B$2:$B$3000=$A233)*(Interaction_Log!$G$2:$G$3000&lt;&gt;"")),Interaction_Log!$G$2:$G$3000),"")</f>
        <v/>
      </c>
      <c r="F233" s="5" t="str">
        <f aca="false">IFERROR(INDEX(Lists!$C$2:$C$12,MATCH($C233,Lists!$A$2:$A$12,0)),"")</f>
        <v>Low</v>
      </c>
      <c r="G233" s="5" t="str">
        <f aca="false">IFERROR(INDEX(Lists!$D$2:$D$12,MATCH($C233,Lists!$A$2:$A$12,0)),"")</f>
        <v>Retry</v>
      </c>
      <c r="H233" s="5" t="str">
        <f aca="false">IF(OR($D233="Converted",$D233="Closed"),"—",IF($E233="","Not Scheduled",IF($E233&lt;CRM_Dashboard!$B$3,"Overdue",IF($E233=CRM_Dashboard!$B$3,"Due Today","Upcoming"))))</f>
        <v>Not Scheduled</v>
      </c>
      <c r="I233" s="5" t="n">
        <f aca="false">COUNTIF(Interaction_Log!$B$2:$B$3000,$A233)</f>
        <v>3</v>
      </c>
      <c r="J233" s="5" t="str">
        <f aca="false">IF(COUNTIFS(Interaction_Log!$B$2:$B$3000,$A233,Interaction_Log!$E$2:$E$3000,"Details Sent")&gt;0,"Yes","No")</f>
        <v>No</v>
      </c>
      <c r="K233" s="2" t="str">
        <f aca="false">IF(AND(COUNTIFS(Interaction_Log!$B$2:$B$3000,$A233,Interaction_Log!$E$2:$E$3000,"Paid")&gt;0,$C233&lt;&gt;"Paid"),"Paid then re-opened","")</f>
        <v/>
      </c>
    </row>
    <row r="234" customFormat="false" ht="15" hidden="false" customHeight="false" outlineLevel="0" collapsed="false">
      <c r="A234" s="2" t="s">
        <v>912</v>
      </c>
      <c r="B234" s="2" t="str">
        <f aca="false">IFERROR(INDEX(Lead_Master!$B$2:$B$1000,MATCH($A234,Lead_Master!$A$2:$A$1000,0)),"")</f>
        <v>Varun Kumar</v>
      </c>
      <c r="C234" s="2" t="str">
        <f aca="false">IFERROR(LOOKUP(2,1/(Interaction_Log!$B$2:$B$3000=$A234),Interaction_Log!$E$2:$E$3000),"No contact")</f>
        <v>Call Back Later</v>
      </c>
      <c r="D234" s="5" t="str">
        <f aca="false">IFERROR(INDEX(Lists!$B$2:$B$12,MATCH($C234,Lists!$A$2:$A$12,0)),"Unmapped")</f>
        <v>Pending</v>
      </c>
      <c r="E234" s="4" t="n">
        <f aca="false">IFERROR(LOOKUP(2,1/((Interaction_Log!$B$2:$B$3000=$A234)*(Interaction_Log!$G$2:$G$3000&lt;&gt;"")),Interaction_Log!$G$2:$G$3000),"")</f>
        <v>46248</v>
      </c>
      <c r="F234" s="5" t="str">
        <f aca="false">IFERROR(INDEX(Lists!$C$2:$C$12,MATCH($C234,Lists!$A$2:$A$12,0)),"")</f>
        <v>Medium</v>
      </c>
      <c r="G234" s="5" t="str">
        <f aca="false">IFERROR(INDEX(Lists!$D$2:$D$12,MATCH($C234,Lists!$A$2:$A$12,0)),"")</f>
        <v>Call</v>
      </c>
      <c r="H234" s="5" t="str">
        <f aca="false">IF(OR($D234="Converted",$D234="Closed"),"—",IF($E234="","Not Scheduled",IF($E234&lt;CRM_Dashboard!$B$3,"Overdue",IF($E234=CRM_Dashboard!$B$3,"Due Today","Upcoming"))))</f>
        <v>Overdue</v>
      </c>
      <c r="I234" s="5" t="n">
        <f aca="false">COUNTIF(Interaction_Log!$B$2:$B$3000,$A234)</f>
        <v>3</v>
      </c>
      <c r="J234" s="5" t="str">
        <f aca="false">IF(COUNTIFS(Interaction_Log!$B$2:$B$3000,$A234,Interaction_Log!$E$2:$E$3000,"Details Sent")&gt;0,"Yes","No")</f>
        <v>Yes</v>
      </c>
      <c r="K234" s="2" t="str">
        <f aca="false">IF(AND(COUNTIFS(Interaction_Log!$B$2:$B$3000,$A234,Interaction_Log!$E$2:$E$3000,"Paid")&gt;0,$C234&lt;&gt;"Paid"),"Paid then re-opened","")</f>
        <v/>
      </c>
    </row>
    <row r="235" customFormat="false" ht="15" hidden="false" customHeight="false" outlineLevel="0" collapsed="false">
      <c r="A235" s="2" t="s">
        <v>916</v>
      </c>
      <c r="B235" s="2" t="str">
        <f aca="false">IFERROR(INDEX(Lead_Master!$B$2:$B$1000,MATCH($A235,Lead_Master!$A$2:$A$1000,0)),"")</f>
        <v>Tanya Sinha</v>
      </c>
      <c r="C235" s="2" t="str">
        <f aca="false">IFERROR(LOOKUP(2,1/(Interaction_Log!$B$2:$B$3000=$A235),Interaction_Log!$E$2:$E$3000),"No contact")</f>
        <v>Paid</v>
      </c>
      <c r="D235" s="5" t="str">
        <f aca="false">IFERROR(INDEX(Lists!$B$2:$B$12,MATCH($C235,Lists!$A$2:$A$12,0)),"Unmapped")</f>
        <v>Converted</v>
      </c>
      <c r="E235" s="4" t="str">
        <f aca="false">IFERROR(LOOKUP(2,1/((Interaction_Log!$B$2:$B$3000=$A235)*(Interaction_Log!$G$2:$G$3000&lt;&gt;"")),Interaction_Log!$G$2:$G$3000),"")</f>
        <v/>
      </c>
      <c r="F235" s="5" t="str">
        <f aca="false">IFERROR(INDEX(Lists!$C$2:$C$12,MATCH($C235,Lists!$A$2:$A$12,0)),"")</f>
        <v>—</v>
      </c>
      <c r="G235" s="5" t="str">
        <f aca="false">IFERROR(INDEX(Lists!$D$2:$D$12,MATCH($C235,Lists!$A$2:$A$12,0)),"")</f>
        <v>Onboard</v>
      </c>
      <c r="H235" s="5" t="str">
        <f aca="false">IF(OR($D235="Converted",$D235="Closed"),"—",IF($E235="","Not Scheduled",IF($E235&lt;CRM_Dashboard!$B$3,"Overdue",IF($E235=CRM_Dashboard!$B$3,"Due Today","Upcoming"))))</f>
        <v>—</v>
      </c>
      <c r="I235" s="5" t="n">
        <f aca="false">COUNTIF(Interaction_Log!$B$2:$B$3000,$A235)</f>
        <v>2</v>
      </c>
      <c r="J235" s="5" t="str">
        <f aca="false">IF(COUNTIFS(Interaction_Log!$B$2:$B$3000,$A235,Interaction_Log!$E$2:$E$3000,"Details Sent")&gt;0,"Yes","No")</f>
        <v>No</v>
      </c>
      <c r="K235" s="2" t="str">
        <f aca="false">IF(AND(COUNTIFS(Interaction_Log!$B$2:$B$3000,$A235,Interaction_Log!$E$2:$E$3000,"Paid")&gt;0,$C235&lt;&gt;"Paid"),"Paid then re-opened","")</f>
        <v/>
      </c>
    </row>
    <row r="236" customFormat="false" ht="15" hidden="false" customHeight="false" outlineLevel="0" collapsed="false">
      <c r="A236" s="2" t="s">
        <v>919</v>
      </c>
      <c r="B236" s="2" t="str">
        <f aca="false">IFERROR(INDEX(Lead_Master!$B$2:$B$1000,MATCH($A236,Lead_Master!$A$2:$A$1000,0)),"")</f>
        <v>Varun Agarwal</v>
      </c>
      <c r="C236" s="2" t="str">
        <f aca="false">IFERROR(LOOKUP(2,1/(Interaction_Log!$B$2:$B$3000=$A236),Interaction_Log!$E$2:$E$3000),"No contact")</f>
        <v>DNP</v>
      </c>
      <c r="D236" s="5" t="str">
        <f aca="false">IFERROR(INDEX(Lists!$B$2:$B$12,MATCH($C236,Lists!$A$2:$A$12,0)),"Unmapped")</f>
        <v>Pending</v>
      </c>
      <c r="E236" s="4" t="str">
        <f aca="false">IFERROR(LOOKUP(2,1/((Interaction_Log!$B$2:$B$3000=$A236)*(Interaction_Log!$G$2:$G$3000&lt;&gt;"")),Interaction_Log!$G$2:$G$3000),"")</f>
        <v/>
      </c>
      <c r="F236" s="5" t="str">
        <f aca="false">IFERROR(INDEX(Lists!$C$2:$C$12,MATCH($C236,Lists!$A$2:$A$12,0)),"")</f>
        <v>Low</v>
      </c>
      <c r="G236" s="5" t="str">
        <f aca="false">IFERROR(INDEX(Lists!$D$2:$D$12,MATCH($C236,Lists!$A$2:$A$12,0)),"")</f>
        <v>Retry</v>
      </c>
      <c r="H236" s="5" t="str">
        <f aca="false">IF(OR($D236="Converted",$D236="Closed"),"—",IF($E236="","Not Scheduled",IF($E236&lt;CRM_Dashboard!$B$3,"Overdue",IF($E236=CRM_Dashboard!$B$3,"Due Today","Upcoming"))))</f>
        <v>Not Scheduled</v>
      </c>
      <c r="I236" s="5" t="n">
        <f aca="false">COUNTIF(Interaction_Log!$B$2:$B$3000,$A236)</f>
        <v>1</v>
      </c>
      <c r="J236" s="5" t="str">
        <f aca="false">IF(COUNTIFS(Interaction_Log!$B$2:$B$3000,$A236,Interaction_Log!$E$2:$E$3000,"Details Sent")&gt;0,"Yes","No")</f>
        <v>No</v>
      </c>
      <c r="K236" s="2" t="str">
        <f aca="false">IF(AND(COUNTIFS(Interaction_Log!$B$2:$B$3000,$A236,Interaction_Log!$E$2:$E$3000,"Paid")&gt;0,$C236&lt;&gt;"Paid"),"Paid then re-opened","")</f>
        <v/>
      </c>
    </row>
    <row r="237" customFormat="false" ht="15" hidden="false" customHeight="false" outlineLevel="0" collapsed="false">
      <c r="A237" s="2" t="s">
        <v>923</v>
      </c>
      <c r="B237" s="2" t="str">
        <f aca="false">IFERROR(INDEX(Lead_Master!$B$2:$B$1000,MATCH($A237,Lead_Master!$A$2:$A$1000,0)),"")</f>
        <v>Aditya Srivastava</v>
      </c>
      <c r="C237" s="2" t="str">
        <f aca="false">IFERROR(LOOKUP(2,1/(Interaction_Log!$B$2:$B$3000=$A237),Interaction_Log!$E$2:$E$3000),"No contact")</f>
        <v>DNP</v>
      </c>
      <c r="D237" s="5" t="str">
        <f aca="false">IFERROR(INDEX(Lists!$B$2:$B$12,MATCH($C237,Lists!$A$2:$A$12,0)),"Unmapped")</f>
        <v>Pending</v>
      </c>
      <c r="E237" s="4" t="str">
        <f aca="false">IFERROR(LOOKUP(2,1/((Interaction_Log!$B$2:$B$3000=$A237)*(Interaction_Log!$G$2:$G$3000&lt;&gt;"")),Interaction_Log!$G$2:$G$3000),"")</f>
        <v/>
      </c>
      <c r="F237" s="5" t="str">
        <f aca="false">IFERROR(INDEX(Lists!$C$2:$C$12,MATCH($C237,Lists!$A$2:$A$12,0)),"")</f>
        <v>Low</v>
      </c>
      <c r="G237" s="5" t="str">
        <f aca="false">IFERROR(INDEX(Lists!$D$2:$D$12,MATCH($C237,Lists!$A$2:$A$12,0)),"")</f>
        <v>Retry</v>
      </c>
      <c r="H237" s="5" t="str">
        <f aca="false">IF(OR($D237="Converted",$D237="Closed"),"—",IF($E237="","Not Scheduled",IF($E237&lt;CRM_Dashboard!$B$3,"Overdue",IF($E237=CRM_Dashboard!$B$3,"Due Today","Upcoming"))))</f>
        <v>Not Scheduled</v>
      </c>
      <c r="I237" s="5" t="n">
        <f aca="false">COUNTIF(Interaction_Log!$B$2:$B$3000,$A237)</f>
        <v>4</v>
      </c>
      <c r="J237" s="5" t="str">
        <f aca="false">IF(COUNTIFS(Interaction_Log!$B$2:$B$3000,$A237,Interaction_Log!$E$2:$E$3000,"Details Sent")&gt;0,"Yes","No")</f>
        <v>No</v>
      </c>
      <c r="K237" s="2" t="str">
        <f aca="false">IF(AND(COUNTIFS(Interaction_Log!$B$2:$B$3000,$A237,Interaction_Log!$E$2:$E$3000,"Paid")&gt;0,$C237&lt;&gt;"Paid"),"Paid then re-opened","")</f>
        <v/>
      </c>
    </row>
    <row r="238" customFormat="false" ht="15" hidden="false" customHeight="false" outlineLevel="0" collapsed="false">
      <c r="A238" s="2" t="s">
        <v>927</v>
      </c>
      <c r="B238" s="2" t="str">
        <f aca="false">IFERROR(INDEX(Lead_Master!$B$2:$B$1000,MATCH($A238,Lead_Master!$A$2:$A$1000,0)),"")</f>
        <v>Pooja Jain</v>
      </c>
      <c r="C238" s="2" t="str">
        <f aca="false">IFERROR(LOOKUP(2,1/(Interaction_Log!$B$2:$B$3000=$A238),Interaction_Log!$E$2:$E$3000),"No contact")</f>
        <v>Switch Off</v>
      </c>
      <c r="D238" s="5" t="str">
        <f aca="false">IFERROR(INDEX(Lists!$B$2:$B$12,MATCH($C238,Lists!$A$2:$A$12,0)),"Unmapped")</f>
        <v>Pending</v>
      </c>
      <c r="E238" s="4" t="str">
        <f aca="false">IFERROR(LOOKUP(2,1/((Interaction_Log!$B$2:$B$3000=$A238)*(Interaction_Log!$G$2:$G$3000&lt;&gt;"")),Interaction_Log!$G$2:$G$3000),"")</f>
        <v/>
      </c>
      <c r="F238" s="5" t="str">
        <f aca="false">IFERROR(INDEX(Lists!$C$2:$C$12,MATCH($C238,Lists!$A$2:$A$12,0)),"")</f>
        <v>Low</v>
      </c>
      <c r="G238" s="5" t="str">
        <f aca="false">IFERROR(INDEX(Lists!$D$2:$D$12,MATCH($C238,Lists!$A$2:$A$12,0)),"")</f>
        <v>Retry</v>
      </c>
      <c r="H238" s="5" t="str">
        <f aca="false">IF(OR($D238="Converted",$D238="Closed"),"—",IF($E238="","Not Scheduled",IF($E238&lt;CRM_Dashboard!$B$3,"Overdue",IF($E238=CRM_Dashboard!$B$3,"Due Today","Upcoming"))))</f>
        <v>Not Scheduled</v>
      </c>
      <c r="I238" s="5" t="n">
        <f aca="false">COUNTIF(Interaction_Log!$B$2:$B$3000,$A238)</f>
        <v>2</v>
      </c>
      <c r="J238" s="5" t="str">
        <f aca="false">IF(COUNTIFS(Interaction_Log!$B$2:$B$3000,$A238,Interaction_Log!$E$2:$E$3000,"Details Sent")&gt;0,"Yes","No")</f>
        <v>No</v>
      </c>
      <c r="K238" s="2" t="str">
        <f aca="false">IF(AND(COUNTIFS(Interaction_Log!$B$2:$B$3000,$A238,Interaction_Log!$E$2:$E$3000,"Paid")&gt;0,$C238&lt;&gt;"Paid"),"Paid then re-opened","")</f>
        <v/>
      </c>
    </row>
    <row r="239" customFormat="false" ht="15" hidden="false" customHeight="false" outlineLevel="0" collapsed="false">
      <c r="A239" s="2" t="s">
        <v>930</v>
      </c>
      <c r="B239" s="2" t="str">
        <f aca="false">IFERROR(INDEX(Lead_Master!$B$2:$B$1000,MATCH($A239,Lead_Master!$A$2:$A$1000,0)),"")</f>
        <v>Karan Verma</v>
      </c>
      <c r="C239" s="2" t="str">
        <f aca="false">IFERROR(LOOKUP(2,1/(Interaction_Log!$B$2:$B$3000=$A239),Interaction_Log!$E$2:$E$3000),"No contact")</f>
        <v>Follow Up</v>
      </c>
      <c r="D239" s="5" t="str">
        <f aca="false">IFERROR(INDEX(Lists!$B$2:$B$12,MATCH($C239,Lists!$A$2:$A$12,0)),"Unmapped")</f>
        <v>Follow Up</v>
      </c>
      <c r="E239" s="4" t="n">
        <f aca="false">IFERROR(LOOKUP(2,1/((Interaction_Log!$B$2:$B$3000=$A239)*(Interaction_Log!$G$2:$G$3000&lt;&gt;"")),Interaction_Log!$G$2:$G$3000),"")</f>
        <v>46232</v>
      </c>
      <c r="F239" s="5" t="str">
        <f aca="false">IFERROR(INDEX(Lists!$C$2:$C$12,MATCH($C239,Lists!$A$2:$A$12,0)),"")</f>
        <v>High</v>
      </c>
      <c r="G239" s="5" t="str">
        <f aca="false">IFERROR(INDEX(Lists!$D$2:$D$12,MATCH($C239,Lists!$A$2:$A$12,0)),"")</f>
        <v>Call</v>
      </c>
      <c r="H239" s="5" t="str">
        <f aca="false">IF(OR($D239="Converted",$D239="Closed"),"—",IF($E239="","Not Scheduled",IF($E239&lt;CRM_Dashboard!$B$3,"Overdue",IF($E239=CRM_Dashboard!$B$3,"Due Today","Upcoming"))))</f>
        <v>Overdue</v>
      </c>
      <c r="I239" s="5" t="n">
        <f aca="false">COUNTIF(Interaction_Log!$B$2:$B$3000,$A239)</f>
        <v>2</v>
      </c>
      <c r="J239" s="5" t="str">
        <f aca="false">IF(COUNTIFS(Interaction_Log!$B$2:$B$3000,$A239,Interaction_Log!$E$2:$E$3000,"Details Sent")&gt;0,"Yes","No")</f>
        <v>No</v>
      </c>
      <c r="K239" s="2" t="str">
        <f aca="false">IF(AND(COUNTIFS(Interaction_Log!$B$2:$B$3000,$A239,Interaction_Log!$E$2:$E$3000,"Paid")&gt;0,$C239&lt;&gt;"Paid"),"Paid then re-opened","")</f>
        <v/>
      </c>
    </row>
    <row r="240" customFormat="false" ht="15" hidden="false" customHeight="false" outlineLevel="0" collapsed="false">
      <c r="A240" s="2" t="s">
        <v>933</v>
      </c>
      <c r="B240" s="2" t="str">
        <f aca="false">IFERROR(INDEX(Lead_Master!$B$2:$B$1000,MATCH($A240,Lead_Master!$A$2:$A$1000,0)),"")</f>
        <v>Tanya Gupta</v>
      </c>
      <c r="C240" s="2" t="str">
        <f aca="false">IFERROR(LOOKUP(2,1/(Interaction_Log!$B$2:$B$3000=$A240),Interaction_Log!$E$2:$E$3000),"No contact")</f>
        <v>DNP</v>
      </c>
      <c r="D240" s="5" t="str">
        <f aca="false">IFERROR(INDEX(Lists!$B$2:$B$12,MATCH($C240,Lists!$A$2:$A$12,0)),"Unmapped")</f>
        <v>Pending</v>
      </c>
      <c r="E240" s="4" t="str">
        <f aca="false">IFERROR(LOOKUP(2,1/((Interaction_Log!$B$2:$B$3000=$A240)*(Interaction_Log!$G$2:$G$3000&lt;&gt;"")),Interaction_Log!$G$2:$G$3000),"")</f>
        <v/>
      </c>
      <c r="F240" s="5" t="str">
        <f aca="false">IFERROR(INDEX(Lists!$C$2:$C$12,MATCH($C240,Lists!$A$2:$A$12,0)),"")</f>
        <v>Low</v>
      </c>
      <c r="G240" s="5" t="str">
        <f aca="false">IFERROR(INDEX(Lists!$D$2:$D$12,MATCH($C240,Lists!$A$2:$A$12,0)),"")</f>
        <v>Retry</v>
      </c>
      <c r="H240" s="5" t="str">
        <f aca="false">IF(OR($D240="Converted",$D240="Closed"),"—",IF($E240="","Not Scheduled",IF($E240&lt;CRM_Dashboard!$B$3,"Overdue",IF($E240=CRM_Dashboard!$B$3,"Due Today","Upcoming"))))</f>
        <v>Not Scheduled</v>
      </c>
      <c r="I240" s="5" t="n">
        <f aca="false">COUNTIF(Interaction_Log!$B$2:$B$3000,$A240)</f>
        <v>3</v>
      </c>
      <c r="J240" s="5" t="str">
        <f aca="false">IF(COUNTIFS(Interaction_Log!$B$2:$B$3000,$A240,Interaction_Log!$E$2:$E$3000,"Details Sent")&gt;0,"Yes","No")</f>
        <v>Yes</v>
      </c>
      <c r="K240" s="2" t="str">
        <f aca="false">IF(AND(COUNTIFS(Interaction_Log!$B$2:$B$3000,$A240,Interaction_Log!$E$2:$E$3000,"Paid")&gt;0,$C240&lt;&gt;"Paid"),"Paid then re-opened","")</f>
        <v/>
      </c>
    </row>
    <row r="241" customFormat="false" ht="15" hidden="false" customHeight="false" outlineLevel="0" collapsed="false">
      <c r="A241" s="2" t="s">
        <v>936</v>
      </c>
      <c r="B241" s="2" t="str">
        <f aca="false">IFERROR(INDEX(Lead_Master!$B$2:$B$1000,MATCH($A241,Lead_Master!$A$2:$A$1000,0)),"")</f>
        <v>Ananya Agarwal</v>
      </c>
      <c r="C241" s="2" t="str">
        <f aca="false">IFERROR(LOOKUP(2,1/(Interaction_Log!$B$2:$B$3000=$A241),Interaction_Log!$E$2:$E$3000),"No contact")</f>
        <v>Call Back Later</v>
      </c>
      <c r="D241" s="5" t="str">
        <f aca="false">IFERROR(INDEX(Lists!$B$2:$B$12,MATCH($C241,Lists!$A$2:$A$12,0)),"Unmapped")</f>
        <v>Pending</v>
      </c>
      <c r="E241" s="4" t="n">
        <f aca="false">IFERROR(LOOKUP(2,1/((Interaction_Log!$B$2:$B$3000=$A241)*(Interaction_Log!$G$2:$G$3000&lt;&gt;"")),Interaction_Log!$G$2:$G$3000),"")</f>
        <v>46238</v>
      </c>
      <c r="F241" s="5" t="str">
        <f aca="false">IFERROR(INDEX(Lists!$C$2:$C$12,MATCH($C241,Lists!$A$2:$A$12,0)),"")</f>
        <v>Medium</v>
      </c>
      <c r="G241" s="5" t="str">
        <f aca="false">IFERROR(INDEX(Lists!$D$2:$D$12,MATCH($C241,Lists!$A$2:$A$12,0)),"")</f>
        <v>Call</v>
      </c>
      <c r="H241" s="5" t="str">
        <f aca="false">IF(OR($D241="Converted",$D241="Closed"),"—",IF($E241="","Not Scheduled",IF($E241&lt;CRM_Dashboard!$B$3,"Overdue",IF($E241=CRM_Dashboard!$B$3,"Due Today","Upcoming"))))</f>
        <v>Overdue</v>
      </c>
      <c r="I241" s="5" t="n">
        <f aca="false">COUNTIF(Interaction_Log!$B$2:$B$3000,$A241)</f>
        <v>3</v>
      </c>
      <c r="J241" s="5" t="str">
        <f aca="false">IF(COUNTIFS(Interaction_Log!$B$2:$B$3000,$A241,Interaction_Log!$E$2:$E$3000,"Details Sent")&gt;0,"Yes","No")</f>
        <v>Yes</v>
      </c>
      <c r="K241" s="2" t="str">
        <f aca="false">IF(AND(COUNTIFS(Interaction_Log!$B$2:$B$3000,$A241,Interaction_Log!$E$2:$E$3000,"Paid")&gt;0,$C241&lt;&gt;"Paid"),"Paid then re-opened","")</f>
        <v/>
      </c>
    </row>
    <row r="242" customFormat="false" ht="15" hidden="false" customHeight="false" outlineLevel="0" collapsed="false">
      <c r="A242" s="2" t="s">
        <v>939</v>
      </c>
      <c r="B242" s="2" t="str">
        <f aca="false">IFERROR(INDEX(Lead_Master!$B$2:$B$1000,MATCH($A242,Lead_Master!$A$2:$A$1000,0)),"")</f>
        <v>Priya Mishra</v>
      </c>
      <c r="C242" s="2" t="str">
        <f aca="false">IFERROR(LOOKUP(2,1/(Interaction_Log!$B$2:$B$3000=$A242),Interaction_Log!$E$2:$E$3000),"No contact")</f>
        <v>DNP</v>
      </c>
      <c r="D242" s="5" t="str">
        <f aca="false">IFERROR(INDEX(Lists!$B$2:$B$12,MATCH($C242,Lists!$A$2:$A$12,0)),"Unmapped")</f>
        <v>Pending</v>
      </c>
      <c r="E242" s="4" t="str">
        <f aca="false">IFERROR(LOOKUP(2,1/((Interaction_Log!$B$2:$B$3000=$A242)*(Interaction_Log!$G$2:$G$3000&lt;&gt;"")),Interaction_Log!$G$2:$G$3000),"")</f>
        <v/>
      </c>
      <c r="F242" s="5" t="str">
        <f aca="false">IFERROR(INDEX(Lists!$C$2:$C$12,MATCH($C242,Lists!$A$2:$A$12,0)),"")</f>
        <v>Low</v>
      </c>
      <c r="G242" s="5" t="str">
        <f aca="false">IFERROR(INDEX(Lists!$D$2:$D$12,MATCH($C242,Lists!$A$2:$A$12,0)),"")</f>
        <v>Retry</v>
      </c>
      <c r="H242" s="5" t="str">
        <f aca="false">IF(OR($D242="Converted",$D242="Closed"),"—",IF($E242="","Not Scheduled",IF($E242&lt;CRM_Dashboard!$B$3,"Overdue",IF($E242=CRM_Dashboard!$B$3,"Due Today","Upcoming"))))</f>
        <v>Not Scheduled</v>
      </c>
      <c r="I242" s="5" t="n">
        <f aca="false">COUNTIF(Interaction_Log!$B$2:$B$3000,$A242)</f>
        <v>2</v>
      </c>
      <c r="J242" s="5" t="str">
        <f aca="false">IF(COUNTIFS(Interaction_Log!$B$2:$B$3000,$A242,Interaction_Log!$E$2:$E$3000,"Details Sent")&gt;0,"Yes","No")</f>
        <v>No</v>
      </c>
      <c r="K242" s="2" t="str">
        <f aca="false">IF(AND(COUNTIFS(Interaction_Log!$B$2:$B$3000,$A242,Interaction_Log!$E$2:$E$3000,"Paid")&gt;0,$C242&lt;&gt;"Paid"),"Paid then re-opened","")</f>
        <v/>
      </c>
    </row>
    <row r="243" customFormat="false" ht="15" hidden="false" customHeight="false" outlineLevel="0" collapsed="false">
      <c r="A243" s="2" t="s">
        <v>943</v>
      </c>
      <c r="B243" s="2" t="str">
        <f aca="false">IFERROR(INDEX(Lead_Master!$B$2:$B$1000,MATCH($A243,Lead_Master!$A$2:$A$1000,0)),"")</f>
        <v>Sakshi Yadav</v>
      </c>
      <c r="C243" s="2" t="str">
        <f aca="false">IFERROR(LOOKUP(2,1/(Interaction_Log!$B$2:$B$3000=$A243),Interaction_Log!$E$2:$E$3000),"No contact")</f>
        <v>DNP</v>
      </c>
      <c r="D243" s="5" t="str">
        <f aca="false">IFERROR(INDEX(Lists!$B$2:$B$12,MATCH($C243,Lists!$A$2:$A$12,0)),"Unmapped")</f>
        <v>Pending</v>
      </c>
      <c r="E243" s="4" t="str">
        <f aca="false">IFERROR(LOOKUP(2,1/((Interaction_Log!$B$2:$B$3000=$A243)*(Interaction_Log!$G$2:$G$3000&lt;&gt;"")),Interaction_Log!$G$2:$G$3000),"")</f>
        <v/>
      </c>
      <c r="F243" s="5" t="str">
        <f aca="false">IFERROR(INDEX(Lists!$C$2:$C$12,MATCH($C243,Lists!$A$2:$A$12,0)),"")</f>
        <v>Low</v>
      </c>
      <c r="G243" s="5" t="str">
        <f aca="false">IFERROR(INDEX(Lists!$D$2:$D$12,MATCH($C243,Lists!$A$2:$A$12,0)),"")</f>
        <v>Retry</v>
      </c>
      <c r="H243" s="5" t="str">
        <f aca="false">IF(OR($D243="Converted",$D243="Closed"),"—",IF($E243="","Not Scheduled",IF($E243&lt;CRM_Dashboard!$B$3,"Overdue",IF($E243=CRM_Dashboard!$B$3,"Due Today","Upcoming"))))</f>
        <v>Not Scheduled</v>
      </c>
      <c r="I243" s="5" t="n">
        <f aca="false">COUNTIF(Interaction_Log!$B$2:$B$3000,$A243)</f>
        <v>1</v>
      </c>
      <c r="J243" s="5" t="str">
        <f aca="false">IF(COUNTIFS(Interaction_Log!$B$2:$B$3000,$A243,Interaction_Log!$E$2:$E$3000,"Details Sent")&gt;0,"Yes","No")</f>
        <v>No</v>
      </c>
      <c r="K243" s="2" t="str">
        <f aca="false">IF(AND(COUNTIFS(Interaction_Log!$B$2:$B$3000,$A243,Interaction_Log!$E$2:$E$3000,"Paid")&gt;0,$C243&lt;&gt;"Paid"),"Paid then re-opened","")</f>
        <v/>
      </c>
    </row>
    <row r="244" customFormat="false" ht="15" hidden="false" customHeight="false" outlineLevel="0" collapsed="false">
      <c r="A244" s="2" t="s">
        <v>947</v>
      </c>
      <c r="B244" s="2" t="str">
        <f aca="false">IFERROR(INDEX(Lead_Master!$B$2:$B$1000,MATCH($A244,Lead_Master!$A$2:$A$1000,0)),"")</f>
        <v>Aditya Mishra</v>
      </c>
      <c r="C244" s="2" t="str">
        <f aca="false">IFERROR(LOOKUP(2,1/(Interaction_Log!$B$2:$B$3000=$A244),Interaction_Log!$E$2:$E$3000),"No contact")</f>
        <v>Details Sent</v>
      </c>
      <c r="D244" s="5" t="str">
        <f aca="false">IFERROR(INDEX(Lists!$B$2:$B$12,MATCH($C244,Lists!$A$2:$A$12,0)),"Unmapped")</f>
        <v>Follow Up</v>
      </c>
      <c r="E244" s="4" t="n">
        <f aca="false">IFERROR(LOOKUP(2,1/((Interaction_Log!$B$2:$B$3000=$A244)*(Interaction_Log!$G$2:$G$3000&lt;&gt;"")),Interaction_Log!$G$2:$G$3000),"")</f>
        <v>46218</v>
      </c>
      <c r="F244" s="5" t="str">
        <f aca="false">IFERROR(INDEX(Lists!$C$2:$C$12,MATCH($C244,Lists!$A$2:$A$12,0)),"")</f>
        <v>High</v>
      </c>
      <c r="G244" s="5" t="str">
        <f aca="false">IFERROR(INDEX(Lists!$D$2:$D$12,MATCH($C244,Lists!$A$2:$A$12,0)),"")</f>
        <v>Call</v>
      </c>
      <c r="H244" s="5" t="str">
        <f aca="false">IF(OR($D244="Converted",$D244="Closed"),"—",IF($E244="","Not Scheduled",IF($E244&lt;CRM_Dashboard!$B$3,"Overdue",IF($E244=CRM_Dashboard!$B$3,"Due Today","Upcoming"))))</f>
        <v>Overdue</v>
      </c>
      <c r="I244" s="5" t="n">
        <f aca="false">COUNTIF(Interaction_Log!$B$2:$B$3000,$A244)</f>
        <v>2</v>
      </c>
      <c r="J244" s="5" t="str">
        <f aca="false">IF(COUNTIFS(Interaction_Log!$B$2:$B$3000,$A244,Interaction_Log!$E$2:$E$3000,"Details Sent")&gt;0,"Yes","No")</f>
        <v>Yes</v>
      </c>
      <c r="K244" s="2" t="str">
        <f aca="false">IF(AND(COUNTIFS(Interaction_Log!$B$2:$B$3000,$A244,Interaction_Log!$E$2:$E$3000,"Paid")&gt;0,$C244&lt;&gt;"Paid"),"Paid then re-opened","")</f>
        <v>Paid then re-opened</v>
      </c>
    </row>
    <row r="245" customFormat="false" ht="15" hidden="false" customHeight="false" outlineLevel="0" collapsed="false">
      <c r="A245" s="2" t="s">
        <v>950</v>
      </c>
      <c r="B245" s="2" t="str">
        <f aca="false">IFERROR(INDEX(Lead_Master!$B$2:$B$1000,MATCH($A245,Lead_Master!$A$2:$A$1000,0)),"")</f>
        <v>Harsh Singh</v>
      </c>
      <c r="C245" s="2" t="str">
        <f aca="false">IFERROR(LOOKUP(2,1/(Interaction_Log!$B$2:$B$3000=$A245),Interaction_Log!$E$2:$E$3000),"No contact")</f>
        <v>Follow Up</v>
      </c>
      <c r="D245" s="5" t="str">
        <f aca="false">IFERROR(INDEX(Lists!$B$2:$B$12,MATCH($C245,Lists!$A$2:$A$12,0)),"Unmapped")</f>
        <v>Follow Up</v>
      </c>
      <c r="E245" s="4" t="n">
        <f aca="false">IFERROR(LOOKUP(2,1/((Interaction_Log!$B$2:$B$3000=$A245)*(Interaction_Log!$G$2:$G$3000&lt;&gt;"")),Interaction_Log!$G$2:$G$3000),"")</f>
        <v>46244</v>
      </c>
      <c r="F245" s="5" t="str">
        <f aca="false">IFERROR(INDEX(Lists!$C$2:$C$12,MATCH($C245,Lists!$A$2:$A$12,0)),"")</f>
        <v>High</v>
      </c>
      <c r="G245" s="5" t="str">
        <f aca="false">IFERROR(INDEX(Lists!$D$2:$D$12,MATCH($C245,Lists!$A$2:$A$12,0)),"")</f>
        <v>Call</v>
      </c>
      <c r="H245" s="5" t="str">
        <f aca="false">IF(OR($D245="Converted",$D245="Closed"),"—",IF($E245="","Not Scheduled",IF($E245&lt;CRM_Dashboard!$B$3,"Overdue",IF($E245=CRM_Dashboard!$B$3,"Due Today","Upcoming"))))</f>
        <v>Overdue</v>
      </c>
      <c r="I245" s="5" t="n">
        <f aca="false">COUNTIF(Interaction_Log!$B$2:$B$3000,$A245)</f>
        <v>3</v>
      </c>
      <c r="J245" s="5" t="str">
        <f aca="false">IF(COUNTIFS(Interaction_Log!$B$2:$B$3000,$A245,Interaction_Log!$E$2:$E$3000,"Details Sent")&gt;0,"Yes","No")</f>
        <v>Yes</v>
      </c>
      <c r="K245" s="2" t="str">
        <f aca="false">IF(AND(COUNTIFS(Interaction_Log!$B$2:$B$3000,$A245,Interaction_Log!$E$2:$E$3000,"Paid")&gt;0,$C245&lt;&gt;"Paid"),"Paid then re-opened","")</f>
        <v/>
      </c>
    </row>
    <row r="246" customFormat="false" ht="15" hidden="false" customHeight="false" outlineLevel="0" collapsed="false">
      <c r="A246" s="2" t="s">
        <v>954</v>
      </c>
      <c r="B246" s="2" t="str">
        <f aca="false">IFERROR(INDEX(Lead_Master!$B$2:$B$1000,MATCH($A246,Lead_Master!$A$2:$A$1000,0)),"")</f>
        <v>Arjun Singh</v>
      </c>
      <c r="C246" s="2" t="str">
        <f aca="false">IFERROR(LOOKUP(2,1/(Interaction_Log!$B$2:$B$3000=$A246),Interaction_Log!$E$2:$E$3000),"No contact")</f>
        <v>Not Reachable</v>
      </c>
      <c r="D246" s="5" t="str">
        <f aca="false">IFERROR(INDEX(Lists!$B$2:$B$12,MATCH($C246,Lists!$A$2:$A$12,0)),"Unmapped")</f>
        <v>Pending</v>
      </c>
      <c r="E246" s="4" t="str">
        <f aca="false">IFERROR(LOOKUP(2,1/((Interaction_Log!$B$2:$B$3000=$A246)*(Interaction_Log!$G$2:$G$3000&lt;&gt;"")),Interaction_Log!$G$2:$G$3000),"")</f>
        <v/>
      </c>
      <c r="F246" s="5" t="str">
        <f aca="false">IFERROR(INDEX(Lists!$C$2:$C$12,MATCH($C246,Lists!$A$2:$A$12,0)),"")</f>
        <v>Low</v>
      </c>
      <c r="G246" s="5" t="str">
        <f aca="false">IFERROR(INDEX(Lists!$D$2:$D$12,MATCH($C246,Lists!$A$2:$A$12,0)),"")</f>
        <v>Retry</v>
      </c>
      <c r="H246" s="5" t="str">
        <f aca="false">IF(OR($D246="Converted",$D246="Closed"),"—",IF($E246="","Not Scheduled",IF($E246&lt;CRM_Dashboard!$B$3,"Overdue",IF($E246=CRM_Dashboard!$B$3,"Due Today","Upcoming"))))</f>
        <v>Not Scheduled</v>
      </c>
      <c r="I246" s="5" t="n">
        <f aca="false">COUNTIF(Interaction_Log!$B$2:$B$3000,$A246)</f>
        <v>2</v>
      </c>
      <c r="J246" s="5" t="str">
        <f aca="false">IF(COUNTIFS(Interaction_Log!$B$2:$B$3000,$A246,Interaction_Log!$E$2:$E$3000,"Details Sent")&gt;0,"Yes","No")</f>
        <v>No</v>
      </c>
      <c r="K246" s="2" t="str">
        <f aca="false">IF(AND(COUNTIFS(Interaction_Log!$B$2:$B$3000,$A246,Interaction_Log!$E$2:$E$3000,"Paid")&gt;0,$C246&lt;&gt;"Paid"),"Paid then re-opened","")</f>
        <v/>
      </c>
    </row>
    <row r="247" customFormat="false" ht="15" hidden="false" customHeight="false" outlineLevel="0" collapsed="false">
      <c r="A247" s="2" t="s">
        <v>958</v>
      </c>
      <c r="B247" s="2" t="str">
        <f aca="false">IFERROR(INDEX(Lead_Master!$B$2:$B$1000,MATCH($A247,Lead_Master!$A$2:$A$1000,0)),"")</f>
        <v>Khushi Pandey</v>
      </c>
      <c r="C247" s="2" t="str">
        <f aca="false">IFERROR(LOOKUP(2,1/(Interaction_Log!$B$2:$B$3000=$A247),Interaction_Log!$E$2:$E$3000),"No contact")</f>
        <v>Details Sent</v>
      </c>
      <c r="D247" s="5" t="str">
        <f aca="false">IFERROR(INDEX(Lists!$B$2:$B$12,MATCH($C247,Lists!$A$2:$A$12,0)),"Unmapped")</f>
        <v>Follow Up</v>
      </c>
      <c r="E247" s="4" t="n">
        <f aca="false">IFERROR(LOOKUP(2,1/((Interaction_Log!$B$2:$B$3000=$A247)*(Interaction_Log!$G$2:$G$3000&lt;&gt;"")),Interaction_Log!$G$2:$G$3000),"")</f>
        <v>46272</v>
      </c>
      <c r="F247" s="5" t="str">
        <f aca="false">IFERROR(INDEX(Lists!$C$2:$C$12,MATCH($C247,Lists!$A$2:$A$12,0)),"")</f>
        <v>High</v>
      </c>
      <c r="G247" s="5" t="str">
        <f aca="false">IFERROR(INDEX(Lists!$D$2:$D$12,MATCH($C247,Lists!$A$2:$A$12,0)),"")</f>
        <v>Call</v>
      </c>
      <c r="H247" s="5" t="str">
        <f aca="false">IF(OR($D247="Converted",$D247="Closed"),"—",IF($E247="","Not Scheduled",IF($E247&lt;CRM_Dashboard!$B$3,"Overdue",IF($E247=CRM_Dashboard!$B$3,"Due Today","Upcoming"))))</f>
        <v>Overdue</v>
      </c>
      <c r="I247" s="5" t="n">
        <f aca="false">COUNTIF(Interaction_Log!$B$2:$B$3000,$A247)</f>
        <v>3</v>
      </c>
      <c r="J247" s="5" t="str">
        <f aca="false">IF(COUNTIFS(Interaction_Log!$B$2:$B$3000,$A247,Interaction_Log!$E$2:$E$3000,"Details Sent")&gt;0,"Yes","No")</f>
        <v>Yes</v>
      </c>
      <c r="K247" s="2" t="str">
        <f aca="false">IF(AND(COUNTIFS(Interaction_Log!$B$2:$B$3000,$A247,Interaction_Log!$E$2:$E$3000,"Paid")&gt;0,$C247&lt;&gt;"Paid"),"Paid then re-opened","")</f>
        <v>Paid then re-opened</v>
      </c>
    </row>
    <row r="248" customFormat="false" ht="15" hidden="false" customHeight="false" outlineLevel="0" collapsed="false">
      <c r="A248" s="2" t="s">
        <v>961</v>
      </c>
      <c r="B248" s="2" t="str">
        <f aca="false">IFERROR(INDEX(Lead_Master!$B$2:$B$1000,MATCH($A248,Lead_Master!$A$2:$A$1000,0)),"")</f>
        <v>Tanya Yadav</v>
      </c>
      <c r="C248" s="2" t="str">
        <f aca="false">IFERROR(LOOKUP(2,1/(Interaction_Log!$B$2:$B$3000=$A248),Interaction_Log!$E$2:$E$3000),"No contact")</f>
        <v>Follow Up</v>
      </c>
      <c r="D248" s="5" t="str">
        <f aca="false">IFERROR(INDEX(Lists!$B$2:$B$12,MATCH($C248,Lists!$A$2:$A$12,0)),"Unmapped")</f>
        <v>Follow Up</v>
      </c>
      <c r="E248" s="4" t="n">
        <f aca="false">IFERROR(LOOKUP(2,1/((Interaction_Log!$B$2:$B$3000=$A248)*(Interaction_Log!$G$2:$G$3000&lt;&gt;"")),Interaction_Log!$G$2:$G$3000),"")</f>
        <v>46234</v>
      </c>
      <c r="F248" s="5" t="str">
        <f aca="false">IFERROR(INDEX(Lists!$C$2:$C$12,MATCH($C248,Lists!$A$2:$A$12,0)),"")</f>
        <v>High</v>
      </c>
      <c r="G248" s="5" t="str">
        <f aca="false">IFERROR(INDEX(Lists!$D$2:$D$12,MATCH($C248,Lists!$A$2:$A$12,0)),"")</f>
        <v>Call</v>
      </c>
      <c r="H248" s="5" t="str">
        <f aca="false">IF(OR($D248="Converted",$D248="Closed"),"—",IF($E248="","Not Scheduled",IF($E248&lt;CRM_Dashboard!$B$3,"Overdue",IF($E248=CRM_Dashboard!$B$3,"Due Today","Upcoming"))))</f>
        <v>Overdue</v>
      </c>
      <c r="I248" s="5" t="n">
        <f aca="false">COUNTIF(Interaction_Log!$B$2:$B$3000,$A248)</f>
        <v>2</v>
      </c>
      <c r="J248" s="5" t="str">
        <f aca="false">IF(COUNTIFS(Interaction_Log!$B$2:$B$3000,$A248,Interaction_Log!$E$2:$E$3000,"Details Sent")&gt;0,"Yes","No")</f>
        <v>No</v>
      </c>
      <c r="K248" s="2" t="str">
        <f aca="false">IF(AND(COUNTIFS(Interaction_Log!$B$2:$B$3000,$A248,Interaction_Log!$E$2:$E$3000,"Paid")&gt;0,$C248&lt;&gt;"Paid"),"Paid then re-opened","")</f>
        <v/>
      </c>
    </row>
    <row r="249" customFormat="false" ht="15" hidden="false" customHeight="false" outlineLevel="0" collapsed="false">
      <c r="A249" s="2" t="s">
        <v>965</v>
      </c>
      <c r="B249" s="2" t="str">
        <f aca="false">IFERROR(INDEX(Lead_Master!$B$2:$B$1000,MATCH($A249,Lead_Master!$A$2:$A$1000,0)),"")</f>
        <v>Karan Yadav</v>
      </c>
      <c r="C249" s="2" t="str">
        <f aca="false">IFERROR(LOOKUP(2,1/(Interaction_Log!$B$2:$B$3000=$A249),Interaction_Log!$E$2:$E$3000),"No contact")</f>
        <v>Not Interested</v>
      </c>
      <c r="D249" s="5" t="str">
        <f aca="false">IFERROR(INDEX(Lists!$B$2:$B$12,MATCH($C249,Lists!$A$2:$A$12,0)),"Unmapped")</f>
        <v>Closed</v>
      </c>
      <c r="E249" s="4" t="str">
        <f aca="false">IFERROR(LOOKUP(2,1/((Interaction_Log!$B$2:$B$3000=$A249)*(Interaction_Log!$G$2:$G$3000&lt;&gt;"")),Interaction_Log!$G$2:$G$3000),"")</f>
        <v/>
      </c>
      <c r="F249" s="5" t="str">
        <f aca="false">IFERROR(INDEX(Lists!$C$2:$C$12,MATCH($C249,Lists!$A$2:$A$12,0)),"")</f>
        <v>—</v>
      </c>
      <c r="G249" s="5" t="str">
        <f aca="false">IFERROR(INDEX(Lists!$D$2:$D$12,MATCH($C249,Lists!$A$2:$A$12,0)),"")</f>
        <v>No action</v>
      </c>
      <c r="H249" s="5" t="str">
        <f aca="false">IF(OR($D249="Converted",$D249="Closed"),"—",IF($E249="","Not Scheduled",IF($E249&lt;CRM_Dashboard!$B$3,"Overdue",IF($E249=CRM_Dashboard!$B$3,"Due Today","Upcoming"))))</f>
        <v>—</v>
      </c>
      <c r="I249" s="5" t="n">
        <f aca="false">COUNTIF(Interaction_Log!$B$2:$B$3000,$A249)</f>
        <v>3</v>
      </c>
      <c r="J249" s="5" t="str">
        <f aca="false">IF(COUNTIFS(Interaction_Log!$B$2:$B$3000,$A249,Interaction_Log!$E$2:$E$3000,"Details Sent")&gt;0,"Yes","No")</f>
        <v>No</v>
      </c>
      <c r="K249" s="2" t="str">
        <f aca="false">IF(AND(COUNTIFS(Interaction_Log!$B$2:$B$3000,$A249,Interaction_Log!$E$2:$E$3000,"Paid")&gt;0,$C249&lt;&gt;"Paid"),"Paid then re-opened","")</f>
        <v>Paid then re-opened</v>
      </c>
    </row>
    <row r="250" customFormat="false" ht="15" hidden="false" customHeight="false" outlineLevel="0" collapsed="false">
      <c r="A250" s="2" t="s">
        <v>969</v>
      </c>
      <c r="B250" s="2" t="str">
        <f aca="false">IFERROR(INDEX(Lead_Master!$B$2:$B$1000,MATCH($A250,Lead_Master!$A$2:$A$1000,0)),"")</f>
        <v>Sneha Mishra</v>
      </c>
      <c r="C250" s="2" t="str">
        <f aca="false">IFERROR(LOOKUP(2,1/(Interaction_Log!$B$2:$B$3000=$A250),Interaction_Log!$E$2:$E$3000),"No contact")</f>
        <v>DNP</v>
      </c>
      <c r="D250" s="5" t="str">
        <f aca="false">IFERROR(INDEX(Lists!$B$2:$B$12,MATCH($C250,Lists!$A$2:$A$12,0)),"Unmapped")</f>
        <v>Pending</v>
      </c>
      <c r="E250" s="4" t="str">
        <f aca="false">IFERROR(LOOKUP(2,1/((Interaction_Log!$B$2:$B$3000=$A250)*(Interaction_Log!$G$2:$G$3000&lt;&gt;"")),Interaction_Log!$G$2:$G$3000),"")</f>
        <v/>
      </c>
      <c r="F250" s="5" t="str">
        <f aca="false">IFERROR(INDEX(Lists!$C$2:$C$12,MATCH($C250,Lists!$A$2:$A$12,0)),"")</f>
        <v>Low</v>
      </c>
      <c r="G250" s="5" t="str">
        <f aca="false">IFERROR(INDEX(Lists!$D$2:$D$12,MATCH($C250,Lists!$A$2:$A$12,0)),"")</f>
        <v>Retry</v>
      </c>
      <c r="H250" s="5" t="str">
        <f aca="false">IF(OR($D250="Converted",$D250="Closed"),"—",IF($E250="","Not Scheduled",IF($E250&lt;CRM_Dashboard!$B$3,"Overdue",IF($E250=CRM_Dashboard!$B$3,"Due Today","Upcoming"))))</f>
        <v>Not Scheduled</v>
      </c>
      <c r="I250" s="5" t="n">
        <f aca="false">COUNTIF(Interaction_Log!$B$2:$B$3000,$A250)</f>
        <v>1</v>
      </c>
      <c r="J250" s="5" t="str">
        <f aca="false">IF(COUNTIFS(Interaction_Log!$B$2:$B$3000,$A250,Interaction_Log!$E$2:$E$3000,"Details Sent")&gt;0,"Yes","No")</f>
        <v>No</v>
      </c>
      <c r="K250" s="2" t="str">
        <f aca="false">IF(AND(COUNTIFS(Interaction_Log!$B$2:$B$3000,$A250,Interaction_Log!$E$2:$E$3000,"Paid")&gt;0,$C250&lt;&gt;"Paid"),"Paid then re-opened","")</f>
        <v/>
      </c>
    </row>
    <row r="251" customFormat="false" ht="15" hidden="false" customHeight="false" outlineLevel="0" collapsed="false">
      <c r="A251" s="2" t="s">
        <v>972</v>
      </c>
      <c r="B251" s="2" t="str">
        <f aca="false">IFERROR(INDEX(Lead_Master!$B$2:$B$1000,MATCH($A251,Lead_Master!$A$2:$A$1000,0)),"")</f>
        <v>Sahil Singh</v>
      </c>
      <c r="C251" s="2" t="str">
        <f aca="false">IFERROR(LOOKUP(2,1/(Interaction_Log!$B$2:$B$3000=$A251),Interaction_Log!$E$2:$E$3000),"No contact")</f>
        <v>Not Reachable</v>
      </c>
      <c r="D251" s="5" t="str">
        <f aca="false">IFERROR(INDEX(Lists!$B$2:$B$12,MATCH($C251,Lists!$A$2:$A$12,0)),"Unmapped")</f>
        <v>Pending</v>
      </c>
      <c r="E251" s="4" t="str">
        <f aca="false">IFERROR(LOOKUP(2,1/((Interaction_Log!$B$2:$B$3000=$A251)*(Interaction_Log!$G$2:$G$3000&lt;&gt;"")),Interaction_Log!$G$2:$G$3000),"")</f>
        <v/>
      </c>
      <c r="F251" s="5" t="str">
        <f aca="false">IFERROR(INDEX(Lists!$C$2:$C$12,MATCH($C251,Lists!$A$2:$A$12,0)),"")</f>
        <v>Low</v>
      </c>
      <c r="G251" s="5" t="str">
        <f aca="false">IFERROR(INDEX(Lists!$D$2:$D$12,MATCH($C251,Lists!$A$2:$A$12,0)),"")</f>
        <v>Retry</v>
      </c>
      <c r="H251" s="5" t="str">
        <f aca="false">IF(OR($D251="Converted",$D251="Closed"),"—",IF($E251="","Not Scheduled",IF($E251&lt;CRM_Dashboard!$B$3,"Overdue",IF($E251=CRM_Dashboard!$B$3,"Due Today","Upcoming"))))</f>
        <v>Not Scheduled</v>
      </c>
      <c r="I251" s="5" t="n">
        <f aca="false">COUNTIF(Interaction_Log!$B$2:$B$3000,$A251)</f>
        <v>2</v>
      </c>
      <c r="J251" s="5" t="str">
        <f aca="false">IF(COUNTIFS(Interaction_Log!$B$2:$B$3000,$A251,Interaction_Log!$E$2:$E$3000,"Details Sent")&gt;0,"Yes","No")</f>
        <v>No</v>
      </c>
      <c r="K251" s="2" t="str">
        <f aca="false">IF(AND(COUNTIFS(Interaction_Log!$B$2:$B$3000,$A251,Interaction_Log!$E$2:$E$3000,"Paid")&gt;0,$C251&lt;&gt;"Paid"),"Paid then re-opened","")</f>
        <v>Paid then re-opened</v>
      </c>
    </row>
    <row r="252" customFormat="false" ht="15" hidden="false" customHeight="false" outlineLevel="0" collapsed="false">
      <c r="A252" s="2" t="s">
        <v>976</v>
      </c>
      <c r="B252" s="2" t="str">
        <f aca="false">IFERROR(INDEX(Lead_Master!$B$2:$B$1000,MATCH($A252,Lead_Master!$A$2:$A$1000,0)),"")</f>
        <v>Ananya Patel</v>
      </c>
      <c r="C252" s="2" t="str">
        <f aca="false">IFERROR(LOOKUP(2,1/(Interaction_Log!$B$2:$B$3000=$A252),Interaction_Log!$E$2:$E$3000),"No contact")</f>
        <v>Call Cut</v>
      </c>
      <c r="D252" s="5" t="str">
        <f aca="false">IFERROR(INDEX(Lists!$B$2:$B$12,MATCH($C252,Lists!$A$2:$A$12,0)),"Unmapped")</f>
        <v>Pending</v>
      </c>
      <c r="E252" s="4" t="str">
        <f aca="false">IFERROR(LOOKUP(2,1/((Interaction_Log!$B$2:$B$3000=$A252)*(Interaction_Log!$G$2:$G$3000&lt;&gt;"")),Interaction_Log!$G$2:$G$3000),"")</f>
        <v/>
      </c>
      <c r="F252" s="5" t="str">
        <f aca="false">IFERROR(INDEX(Lists!$C$2:$C$12,MATCH($C252,Lists!$A$2:$A$12,0)),"")</f>
        <v>Medium</v>
      </c>
      <c r="G252" s="5" t="str">
        <f aca="false">IFERROR(INDEX(Lists!$D$2:$D$12,MATCH($C252,Lists!$A$2:$A$12,0)),"")</f>
        <v>Retry</v>
      </c>
      <c r="H252" s="5" t="str">
        <f aca="false">IF(OR($D252="Converted",$D252="Closed"),"—",IF($E252="","Not Scheduled",IF($E252&lt;CRM_Dashboard!$B$3,"Overdue",IF($E252=CRM_Dashboard!$B$3,"Due Today","Upcoming"))))</f>
        <v>Not Scheduled</v>
      </c>
      <c r="I252" s="5" t="n">
        <f aca="false">COUNTIF(Interaction_Log!$B$2:$B$3000,$A252)</f>
        <v>4</v>
      </c>
      <c r="J252" s="5" t="str">
        <f aca="false">IF(COUNTIFS(Interaction_Log!$B$2:$B$3000,$A252,Interaction_Log!$E$2:$E$3000,"Details Sent")&gt;0,"Yes","No")</f>
        <v>No</v>
      </c>
      <c r="K252" s="2" t="str">
        <f aca="false">IF(AND(COUNTIFS(Interaction_Log!$B$2:$B$3000,$A252,Interaction_Log!$E$2:$E$3000,"Paid")&gt;0,$C252&lt;&gt;"Paid"),"Paid then re-opened","")</f>
        <v/>
      </c>
    </row>
    <row r="253" customFormat="false" ht="15" hidden="false" customHeight="false" outlineLevel="0" collapsed="false">
      <c r="A253" s="2" t="s">
        <v>979</v>
      </c>
      <c r="B253" s="2" t="str">
        <f aca="false">IFERROR(INDEX(Lead_Master!$B$2:$B$1000,MATCH($A253,Lead_Master!$A$2:$A$1000,0)),"")</f>
        <v>Karan Jain</v>
      </c>
      <c r="C253" s="2" t="str">
        <f aca="false">IFERROR(LOOKUP(2,1/(Interaction_Log!$B$2:$B$3000=$A253),Interaction_Log!$E$2:$E$3000),"No contact")</f>
        <v>Not Interested</v>
      </c>
      <c r="D253" s="5" t="str">
        <f aca="false">IFERROR(INDEX(Lists!$B$2:$B$12,MATCH($C253,Lists!$A$2:$A$12,0)),"Unmapped")</f>
        <v>Closed</v>
      </c>
      <c r="E253" s="4" t="str">
        <f aca="false">IFERROR(LOOKUP(2,1/((Interaction_Log!$B$2:$B$3000=$A253)*(Interaction_Log!$G$2:$G$3000&lt;&gt;"")),Interaction_Log!$G$2:$G$3000),"")</f>
        <v/>
      </c>
      <c r="F253" s="5" t="str">
        <f aca="false">IFERROR(INDEX(Lists!$C$2:$C$12,MATCH($C253,Lists!$A$2:$A$12,0)),"")</f>
        <v>—</v>
      </c>
      <c r="G253" s="5" t="str">
        <f aca="false">IFERROR(INDEX(Lists!$D$2:$D$12,MATCH($C253,Lists!$A$2:$A$12,0)),"")</f>
        <v>No action</v>
      </c>
      <c r="H253" s="5" t="str">
        <f aca="false">IF(OR($D253="Converted",$D253="Closed"),"—",IF($E253="","Not Scheduled",IF($E253&lt;CRM_Dashboard!$B$3,"Overdue",IF($E253=CRM_Dashboard!$B$3,"Due Today","Upcoming"))))</f>
        <v>—</v>
      </c>
      <c r="I253" s="5" t="n">
        <f aca="false">COUNTIF(Interaction_Log!$B$2:$B$3000,$A253)</f>
        <v>2</v>
      </c>
      <c r="J253" s="5" t="str">
        <f aca="false">IF(COUNTIFS(Interaction_Log!$B$2:$B$3000,$A253,Interaction_Log!$E$2:$E$3000,"Details Sent")&gt;0,"Yes","No")</f>
        <v>No</v>
      </c>
      <c r="K253" s="2" t="str">
        <f aca="false">IF(AND(COUNTIFS(Interaction_Log!$B$2:$B$3000,$A253,Interaction_Log!$E$2:$E$3000,"Paid")&gt;0,$C253&lt;&gt;"Paid"),"Paid then re-opened","")</f>
        <v/>
      </c>
    </row>
    <row r="254" customFormat="false" ht="15" hidden="false" customHeight="false" outlineLevel="0" collapsed="false">
      <c r="A254" s="2" t="s">
        <v>983</v>
      </c>
      <c r="B254" s="2" t="str">
        <f aca="false">IFERROR(INDEX(Lead_Master!$B$2:$B$1000,MATCH($A254,Lead_Master!$A$2:$A$1000,0)),"")</f>
        <v>Sneha Yadav</v>
      </c>
      <c r="C254" s="2" t="str">
        <f aca="false">IFERROR(LOOKUP(2,1/(Interaction_Log!$B$2:$B$3000=$A254),Interaction_Log!$E$2:$E$3000),"No contact")</f>
        <v>DNP</v>
      </c>
      <c r="D254" s="5" t="str">
        <f aca="false">IFERROR(INDEX(Lists!$B$2:$B$12,MATCH($C254,Lists!$A$2:$A$12,0)),"Unmapped")</f>
        <v>Pending</v>
      </c>
      <c r="E254" s="4" t="str">
        <f aca="false">IFERROR(LOOKUP(2,1/((Interaction_Log!$B$2:$B$3000=$A254)*(Interaction_Log!$G$2:$G$3000&lt;&gt;"")),Interaction_Log!$G$2:$G$3000),"")</f>
        <v/>
      </c>
      <c r="F254" s="5" t="str">
        <f aca="false">IFERROR(INDEX(Lists!$C$2:$C$12,MATCH($C254,Lists!$A$2:$A$12,0)),"")</f>
        <v>Low</v>
      </c>
      <c r="G254" s="5" t="str">
        <f aca="false">IFERROR(INDEX(Lists!$D$2:$D$12,MATCH($C254,Lists!$A$2:$A$12,0)),"")</f>
        <v>Retry</v>
      </c>
      <c r="H254" s="5" t="str">
        <f aca="false">IF(OR($D254="Converted",$D254="Closed"),"—",IF($E254="","Not Scheduled",IF($E254&lt;CRM_Dashboard!$B$3,"Overdue",IF($E254=CRM_Dashboard!$B$3,"Due Today","Upcoming"))))</f>
        <v>Not Scheduled</v>
      </c>
      <c r="I254" s="5" t="n">
        <f aca="false">COUNTIF(Interaction_Log!$B$2:$B$3000,$A254)</f>
        <v>2</v>
      </c>
      <c r="J254" s="5" t="str">
        <f aca="false">IF(COUNTIFS(Interaction_Log!$B$2:$B$3000,$A254,Interaction_Log!$E$2:$E$3000,"Details Sent")&gt;0,"Yes","No")</f>
        <v>No</v>
      </c>
      <c r="K254" s="2" t="str">
        <f aca="false">IF(AND(COUNTIFS(Interaction_Log!$B$2:$B$3000,$A254,Interaction_Log!$E$2:$E$3000,"Paid")&gt;0,$C254&lt;&gt;"Paid"),"Paid then re-opened","")</f>
        <v/>
      </c>
    </row>
    <row r="255" customFormat="false" ht="15" hidden="false" customHeight="false" outlineLevel="0" collapsed="false">
      <c r="A255" s="2" t="s">
        <v>987</v>
      </c>
      <c r="B255" s="2" t="str">
        <f aca="false">IFERROR(INDEX(Lead_Master!$B$2:$B$1000,MATCH($A255,Lead_Master!$A$2:$A$1000,0)),"")</f>
        <v>Shreya Srivastava</v>
      </c>
      <c r="C255" s="2" t="str">
        <f aca="false">IFERROR(LOOKUP(2,1/(Interaction_Log!$B$2:$B$3000=$A255),Interaction_Log!$E$2:$E$3000),"No contact")</f>
        <v>DNP</v>
      </c>
      <c r="D255" s="5" t="str">
        <f aca="false">IFERROR(INDEX(Lists!$B$2:$B$12,MATCH($C255,Lists!$A$2:$A$12,0)),"Unmapped")</f>
        <v>Pending</v>
      </c>
      <c r="E255" s="4" t="str">
        <f aca="false">IFERROR(LOOKUP(2,1/((Interaction_Log!$B$2:$B$3000=$A255)*(Interaction_Log!$G$2:$G$3000&lt;&gt;"")),Interaction_Log!$G$2:$G$3000),"")</f>
        <v/>
      </c>
      <c r="F255" s="5" t="str">
        <f aca="false">IFERROR(INDEX(Lists!$C$2:$C$12,MATCH($C255,Lists!$A$2:$A$12,0)),"")</f>
        <v>Low</v>
      </c>
      <c r="G255" s="5" t="str">
        <f aca="false">IFERROR(INDEX(Lists!$D$2:$D$12,MATCH($C255,Lists!$A$2:$A$12,0)),"")</f>
        <v>Retry</v>
      </c>
      <c r="H255" s="5" t="str">
        <f aca="false">IF(OR($D255="Converted",$D255="Closed"),"—",IF($E255="","Not Scheduled",IF($E255&lt;CRM_Dashboard!$B$3,"Overdue",IF($E255=CRM_Dashboard!$B$3,"Due Today","Upcoming"))))</f>
        <v>Not Scheduled</v>
      </c>
      <c r="I255" s="5" t="n">
        <f aca="false">COUNTIF(Interaction_Log!$B$2:$B$3000,$A255)</f>
        <v>3</v>
      </c>
      <c r="J255" s="5" t="str">
        <f aca="false">IF(COUNTIFS(Interaction_Log!$B$2:$B$3000,$A255,Interaction_Log!$E$2:$E$3000,"Details Sent")&gt;0,"Yes","No")</f>
        <v>Yes</v>
      </c>
      <c r="K255" s="2" t="str">
        <f aca="false">IF(AND(COUNTIFS(Interaction_Log!$B$2:$B$3000,$A255,Interaction_Log!$E$2:$E$3000,"Paid")&gt;0,$C255&lt;&gt;"Paid"),"Paid then re-opened","")</f>
        <v/>
      </c>
    </row>
    <row r="256" customFormat="false" ht="15" hidden="false" customHeight="false" outlineLevel="0" collapsed="false">
      <c r="A256" s="2" t="s">
        <v>990</v>
      </c>
      <c r="B256" s="2" t="str">
        <f aca="false">IFERROR(INDEX(Lead_Master!$B$2:$B$1000,MATCH($A256,Lead_Master!$A$2:$A$1000,0)),"")</f>
        <v>Yash Mehta</v>
      </c>
      <c r="C256" s="2" t="str">
        <f aca="false">IFERROR(LOOKUP(2,1/(Interaction_Log!$B$2:$B$3000=$A256),Interaction_Log!$E$2:$E$3000),"No contact")</f>
        <v>DNP</v>
      </c>
      <c r="D256" s="5" t="str">
        <f aca="false">IFERROR(INDEX(Lists!$B$2:$B$12,MATCH($C256,Lists!$A$2:$A$12,0)),"Unmapped")</f>
        <v>Pending</v>
      </c>
      <c r="E256" s="4" t="str">
        <f aca="false">IFERROR(LOOKUP(2,1/((Interaction_Log!$B$2:$B$3000=$A256)*(Interaction_Log!$G$2:$G$3000&lt;&gt;"")),Interaction_Log!$G$2:$G$3000),"")</f>
        <v/>
      </c>
      <c r="F256" s="5" t="str">
        <f aca="false">IFERROR(INDEX(Lists!$C$2:$C$12,MATCH($C256,Lists!$A$2:$A$12,0)),"")</f>
        <v>Low</v>
      </c>
      <c r="G256" s="5" t="str">
        <f aca="false">IFERROR(INDEX(Lists!$D$2:$D$12,MATCH($C256,Lists!$A$2:$A$12,0)),"")</f>
        <v>Retry</v>
      </c>
      <c r="H256" s="5" t="str">
        <f aca="false">IF(OR($D256="Converted",$D256="Closed"),"—",IF($E256="","Not Scheduled",IF($E256&lt;CRM_Dashboard!$B$3,"Overdue",IF($E256=CRM_Dashboard!$B$3,"Due Today","Upcoming"))))</f>
        <v>Not Scheduled</v>
      </c>
      <c r="I256" s="5" t="n">
        <f aca="false">COUNTIF(Interaction_Log!$B$2:$B$3000,$A256)</f>
        <v>4</v>
      </c>
      <c r="J256" s="5" t="str">
        <f aca="false">IF(COUNTIFS(Interaction_Log!$B$2:$B$3000,$A256,Interaction_Log!$E$2:$E$3000,"Details Sent")&gt;0,"Yes","No")</f>
        <v>Yes</v>
      </c>
      <c r="K256" s="2" t="str">
        <f aca="false">IF(AND(COUNTIFS(Interaction_Log!$B$2:$B$3000,$A256,Interaction_Log!$E$2:$E$3000,"Paid")&gt;0,$C256&lt;&gt;"Paid"),"Paid then re-opened","")</f>
        <v/>
      </c>
    </row>
    <row r="257" customFormat="false" ht="15" hidden="false" customHeight="false" outlineLevel="0" collapsed="false">
      <c r="A257" s="2" t="s">
        <v>994</v>
      </c>
      <c r="B257" s="2" t="str">
        <f aca="false">IFERROR(INDEX(Lead_Master!$B$2:$B$1000,MATCH($A257,Lead_Master!$A$2:$A$1000,0)),"")</f>
        <v>Sahil Rathore</v>
      </c>
      <c r="C257" s="2" t="str">
        <f aca="false">IFERROR(LOOKUP(2,1/(Interaction_Log!$B$2:$B$3000=$A257),Interaction_Log!$E$2:$E$3000),"No contact")</f>
        <v>DNP</v>
      </c>
      <c r="D257" s="5" t="str">
        <f aca="false">IFERROR(INDEX(Lists!$B$2:$B$12,MATCH($C257,Lists!$A$2:$A$12,0)),"Unmapped")</f>
        <v>Pending</v>
      </c>
      <c r="E257" s="4" t="str">
        <f aca="false">IFERROR(LOOKUP(2,1/((Interaction_Log!$B$2:$B$3000=$A257)*(Interaction_Log!$G$2:$G$3000&lt;&gt;"")),Interaction_Log!$G$2:$G$3000),"")</f>
        <v/>
      </c>
      <c r="F257" s="5" t="str">
        <f aca="false">IFERROR(INDEX(Lists!$C$2:$C$12,MATCH($C257,Lists!$A$2:$A$12,0)),"")</f>
        <v>Low</v>
      </c>
      <c r="G257" s="5" t="str">
        <f aca="false">IFERROR(INDEX(Lists!$D$2:$D$12,MATCH($C257,Lists!$A$2:$A$12,0)),"")</f>
        <v>Retry</v>
      </c>
      <c r="H257" s="5" t="str">
        <f aca="false">IF(OR($D257="Converted",$D257="Closed"),"—",IF($E257="","Not Scheduled",IF($E257&lt;CRM_Dashboard!$B$3,"Overdue",IF($E257=CRM_Dashboard!$B$3,"Due Today","Upcoming"))))</f>
        <v>Not Scheduled</v>
      </c>
      <c r="I257" s="5" t="n">
        <f aca="false">COUNTIF(Interaction_Log!$B$2:$B$3000,$A257)</f>
        <v>3</v>
      </c>
      <c r="J257" s="5" t="str">
        <f aca="false">IF(COUNTIFS(Interaction_Log!$B$2:$B$3000,$A257,Interaction_Log!$E$2:$E$3000,"Details Sent")&gt;0,"Yes","No")</f>
        <v>No</v>
      </c>
      <c r="K257" s="2" t="str">
        <f aca="false">IF(AND(COUNTIFS(Interaction_Log!$B$2:$B$3000,$A257,Interaction_Log!$E$2:$E$3000,"Paid")&gt;0,$C257&lt;&gt;"Paid"),"Paid then re-opened","")</f>
        <v/>
      </c>
    </row>
    <row r="258" customFormat="false" ht="15" hidden="false" customHeight="false" outlineLevel="0" collapsed="false">
      <c r="A258" s="2" t="s">
        <v>998</v>
      </c>
      <c r="B258" s="2" t="str">
        <f aca="false">IFERROR(INDEX(Lead_Master!$B$2:$B$1000,MATCH($A258,Lead_Master!$A$2:$A$1000,0)),"")</f>
        <v>Aman Yadav</v>
      </c>
      <c r="C258" s="2" t="str">
        <f aca="false">IFERROR(LOOKUP(2,1/(Interaction_Log!$B$2:$B$3000=$A258),Interaction_Log!$E$2:$E$3000),"No contact")</f>
        <v>Details Sent</v>
      </c>
      <c r="D258" s="5" t="str">
        <f aca="false">IFERROR(INDEX(Lists!$B$2:$B$12,MATCH($C258,Lists!$A$2:$A$12,0)),"Unmapped")</f>
        <v>Follow Up</v>
      </c>
      <c r="E258" s="4" t="n">
        <f aca="false">IFERROR(LOOKUP(2,1/((Interaction_Log!$B$2:$B$3000=$A258)*(Interaction_Log!$G$2:$G$3000&lt;&gt;"")),Interaction_Log!$G$2:$G$3000),"")</f>
        <v>46275</v>
      </c>
      <c r="F258" s="5" t="str">
        <f aca="false">IFERROR(INDEX(Lists!$C$2:$C$12,MATCH($C258,Lists!$A$2:$A$12,0)),"")</f>
        <v>High</v>
      </c>
      <c r="G258" s="5" t="str">
        <f aca="false">IFERROR(INDEX(Lists!$D$2:$D$12,MATCH($C258,Lists!$A$2:$A$12,0)),"")</f>
        <v>Call</v>
      </c>
      <c r="H258" s="5" t="str">
        <f aca="false">IF(OR($D258="Converted",$D258="Closed"),"—",IF($E258="","Not Scheduled",IF($E258&lt;CRM_Dashboard!$B$3,"Overdue",IF($E258=CRM_Dashboard!$B$3,"Due Today","Upcoming"))))</f>
        <v>Overdue</v>
      </c>
      <c r="I258" s="5" t="n">
        <f aca="false">COUNTIF(Interaction_Log!$B$2:$B$3000,$A258)</f>
        <v>1</v>
      </c>
      <c r="J258" s="5" t="str">
        <f aca="false">IF(COUNTIFS(Interaction_Log!$B$2:$B$3000,$A258,Interaction_Log!$E$2:$E$3000,"Details Sent")&gt;0,"Yes","No")</f>
        <v>Yes</v>
      </c>
      <c r="K258" s="2" t="str">
        <f aca="false">IF(AND(COUNTIFS(Interaction_Log!$B$2:$B$3000,$A258,Interaction_Log!$E$2:$E$3000,"Paid")&gt;0,$C258&lt;&gt;"Paid"),"Paid then re-opened","")</f>
        <v/>
      </c>
    </row>
    <row r="259" customFormat="false" ht="15" hidden="false" customHeight="false" outlineLevel="0" collapsed="false">
      <c r="A259" s="2" t="s">
        <v>1001</v>
      </c>
      <c r="B259" s="2" t="str">
        <f aca="false">IFERROR(INDEX(Lead_Master!$B$2:$B$1000,MATCH($A259,Lead_Master!$A$2:$A$1000,0)),"")</f>
        <v>Pooja Agarwal</v>
      </c>
      <c r="C259" s="2" t="str">
        <f aca="false">IFERROR(LOOKUP(2,1/(Interaction_Log!$B$2:$B$3000=$A259),Interaction_Log!$E$2:$E$3000),"No contact")</f>
        <v>DNP</v>
      </c>
      <c r="D259" s="5" t="str">
        <f aca="false">IFERROR(INDEX(Lists!$B$2:$B$12,MATCH($C259,Lists!$A$2:$A$12,0)),"Unmapped")</f>
        <v>Pending</v>
      </c>
      <c r="E259" s="4" t="str">
        <f aca="false">IFERROR(LOOKUP(2,1/((Interaction_Log!$B$2:$B$3000=$A259)*(Interaction_Log!$G$2:$G$3000&lt;&gt;"")),Interaction_Log!$G$2:$G$3000),"")</f>
        <v/>
      </c>
      <c r="F259" s="5" t="str">
        <f aca="false">IFERROR(INDEX(Lists!$C$2:$C$12,MATCH($C259,Lists!$A$2:$A$12,0)),"")</f>
        <v>Low</v>
      </c>
      <c r="G259" s="5" t="str">
        <f aca="false">IFERROR(INDEX(Lists!$D$2:$D$12,MATCH($C259,Lists!$A$2:$A$12,0)),"")</f>
        <v>Retry</v>
      </c>
      <c r="H259" s="5" t="str">
        <f aca="false">IF(OR($D259="Converted",$D259="Closed"),"—",IF($E259="","Not Scheduled",IF($E259&lt;CRM_Dashboard!$B$3,"Overdue",IF($E259=CRM_Dashboard!$B$3,"Due Today","Upcoming"))))</f>
        <v>Not Scheduled</v>
      </c>
      <c r="I259" s="5" t="n">
        <f aca="false">COUNTIF(Interaction_Log!$B$2:$B$3000,$A259)</f>
        <v>3</v>
      </c>
      <c r="J259" s="5" t="str">
        <f aca="false">IF(COUNTIFS(Interaction_Log!$B$2:$B$3000,$A259,Interaction_Log!$E$2:$E$3000,"Details Sent")&gt;0,"Yes","No")</f>
        <v>No</v>
      </c>
      <c r="K259" s="2" t="str">
        <f aca="false">IF(AND(COUNTIFS(Interaction_Log!$B$2:$B$3000,$A259,Interaction_Log!$E$2:$E$3000,"Paid")&gt;0,$C259&lt;&gt;"Paid"),"Paid then re-opened","")</f>
        <v/>
      </c>
    </row>
    <row r="260" customFormat="false" ht="15" hidden="false" customHeight="false" outlineLevel="0" collapsed="false">
      <c r="A260" s="2" t="s">
        <v>1004</v>
      </c>
      <c r="B260" s="2" t="str">
        <f aca="false">IFERROR(INDEX(Lead_Master!$B$2:$B$1000,MATCH($A260,Lead_Master!$A$2:$A$1000,0)),"")</f>
        <v>Ananya Kumar</v>
      </c>
      <c r="C260" s="2" t="str">
        <f aca="false">IFERROR(LOOKUP(2,1/(Interaction_Log!$B$2:$B$3000=$A260),Interaction_Log!$E$2:$E$3000),"No contact")</f>
        <v>Call Back Later</v>
      </c>
      <c r="D260" s="5" t="str">
        <f aca="false">IFERROR(INDEX(Lists!$B$2:$B$12,MATCH($C260,Lists!$A$2:$A$12,0)),"Unmapped")</f>
        <v>Pending</v>
      </c>
      <c r="E260" s="4" t="n">
        <f aca="false">IFERROR(LOOKUP(2,1/((Interaction_Log!$B$2:$B$3000=$A260)*(Interaction_Log!$G$2:$G$3000&lt;&gt;"")),Interaction_Log!$G$2:$G$3000),"")</f>
        <v>46290</v>
      </c>
      <c r="F260" s="5" t="str">
        <f aca="false">IFERROR(INDEX(Lists!$C$2:$C$12,MATCH($C260,Lists!$A$2:$A$12,0)),"")</f>
        <v>Medium</v>
      </c>
      <c r="G260" s="5" t="str">
        <f aca="false">IFERROR(INDEX(Lists!$D$2:$D$12,MATCH($C260,Lists!$A$2:$A$12,0)),"")</f>
        <v>Call</v>
      </c>
      <c r="H260" s="5" t="str">
        <f aca="false">IF(OR($D260="Converted",$D260="Closed"),"—",IF($E260="","Not Scheduled",IF($E260&lt;CRM_Dashboard!$B$3,"Overdue",IF($E260=CRM_Dashboard!$B$3,"Due Today","Upcoming"))))</f>
        <v>Overdue</v>
      </c>
      <c r="I260" s="5" t="n">
        <f aca="false">COUNTIF(Interaction_Log!$B$2:$B$3000,$A260)</f>
        <v>4</v>
      </c>
      <c r="J260" s="5" t="str">
        <f aca="false">IF(COUNTIFS(Interaction_Log!$B$2:$B$3000,$A260,Interaction_Log!$E$2:$E$3000,"Details Sent")&gt;0,"Yes","No")</f>
        <v>No</v>
      </c>
      <c r="K260" s="2" t="str">
        <f aca="false">IF(AND(COUNTIFS(Interaction_Log!$B$2:$B$3000,$A260,Interaction_Log!$E$2:$E$3000,"Paid")&gt;0,$C260&lt;&gt;"Paid"),"Paid then re-opened","")</f>
        <v/>
      </c>
    </row>
    <row r="261" customFormat="false" ht="15" hidden="false" customHeight="false" outlineLevel="0" collapsed="false">
      <c r="A261" s="2" t="s">
        <v>1007</v>
      </c>
      <c r="B261" s="2" t="str">
        <f aca="false">IFERROR(INDEX(Lead_Master!$B$2:$B$1000,MATCH($A261,Lead_Master!$A$2:$A$1000,0)),"")</f>
        <v>Shreya Pandey</v>
      </c>
      <c r="C261" s="2" t="str">
        <f aca="false">IFERROR(LOOKUP(2,1/(Interaction_Log!$B$2:$B$3000=$A261),Interaction_Log!$E$2:$E$3000),"No contact")</f>
        <v>Details Sent</v>
      </c>
      <c r="D261" s="5" t="str">
        <f aca="false">IFERROR(INDEX(Lists!$B$2:$B$12,MATCH($C261,Lists!$A$2:$A$12,0)),"Unmapped")</f>
        <v>Follow Up</v>
      </c>
      <c r="E261" s="4" t="n">
        <f aca="false">IFERROR(LOOKUP(2,1/((Interaction_Log!$B$2:$B$3000=$A261)*(Interaction_Log!$G$2:$G$3000&lt;&gt;"")),Interaction_Log!$G$2:$G$3000),"")</f>
        <v>46254</v>
      </c>
      <c r="F261" s="5" t="str">
        <f aca="false">IFERROR(INDEX(Lists!$C$2:$C$12,MATCH($C261,Lists!$A$2:$A$12,0)),"")</f>
        <v>High</v>
      </c>
      <c r="G261" s="5" t="str">
        <f aca="false">IFERROR(INDEX(Lists!$D$2:$D$12,MATCH($C261,Lists!$A$2:$A$12,0)),"")</f>
        <v>Call</v>
      </c>
      <c r="H261" s="5" t="str">
        <f aca="false">IF(OR($D261="Converted",$D261="Closed"),"—",IF($E261="","Not Scheduled",IF($E261&lt;CRM_Dashboard!$B$3,"Overdue",IF($E261=CRM_Dashboard!$B$3,"Due Today","Upcoming"))))</f>
        <v>Overdue</v>
      </c>
      <c r="I261" s="5" t="n">
        <f aca="false">COUNTIF(Interaction_Log!$B$2:$B$3000,$A261)</f>
        <v>2</v>
      </c>
      <c r="J261" s="5" t="str">
        <f aca="false">IF(COUNTIFS(Interaction_Log!$B$2:$B$3000,$A261,Interaction_Log!$E$2:$E$3000,"Details Sent")&gt;0,"Yes","No")</f>
        <v>Yes</v>
      </c>
      <c r="K261" s="2" t="str">
        <f aca="false">IF(AND(COUNTIFS(Interaction_Log!$B$2:$B$3000,$A261,Interaction_Log!$E$2:$E$3000,"Paid")&gt;0,$C261&lt;&gt;"Paid"),"Paid then re-opened","")</f>
        <v/>
      </c>
    </row>
    <row r="262" customFormat="false" ht="15" hidden="false" customHeight="false" outlineLevel="0" collapsed="false">
      <c r="A262" s="2" t="s">
        <v>1010</v>
      </c>
      <c r="B262" s="2" t="str">
        <f aca="false">IFERROR(INDEX(Lead_Master!$B$2:$B$1000,MATCH($A262,Lead_Master!$A$2:$A$1000,0)),"")</f>
        <v>Rahul Sinha</v>
      </c>
      <c r="C262" s="2" t="str">
        <f aca="false">IFERROR(LOOKUP(2,1/(Interaction_Log!$B$2:$B$3000=$A262),Interaction_Log!$E$2:$E$3000),"No contact")</f>
        <v>DNP</v>
      </c>
      <c r="D262" s="5" t="str">
        <f aca="false">IFERROR(INDEX(Lists!$B$2:$B$12,MATCH($C262,Lists!$A$2:$A$12,0)),"Unmapped")</f>
        <v>Pending</v>
      </c>
      <c r="E262" s="4" t="str">
        <f aca="false">IFERROR(LOOKUP(2,1/((Interaction_Log!$B$2:$B$3000=$A262)*(Interaction_Log!$G$2:$G$3000&lt;&gt;"")),Interaction_Log!$G$2:$G$3000),"")</f>
        <v/>
      </c>
      <c r="F262" s="5" t="str">
        <f aca="false">IFERROR(INDEX(Lists!$C$2:$C$12,MATCH($C262,Lists!$A$2:$A$12,0)),"")</f>
        <v>Low</v>
      </c>
      <c r="G262" s="5" t="str">
        <f aca="false">IFERROR(INDEX(Lists!$D$2:$D$12,MATCH($C262,Lists!$A$2:$A$12,0)),"")</f>
        <v>Retry</v>
      </c>
      <c r="H262" s="5" t="str">
        <f aca="false">IF(OR($D262="Converted",$D262="Closed"),"—",IF($E262="","Not Scheduled",IF($E262&lt;CRM_Dashboard!$B$3,"Overdue",IF($E262=CRM_Dashboard!$B$3,"Due Today","Upcoming"))))</f>
        <v>Not Scheduled</v>
      </c>
      <c r="I262" s="5" t="n">
        <f aca="false">COUNTIF(Interaction_Log!$B$2:$B$3000,$A262)</f>
        <v>1</v>
      </c>
      <c r="J262" s="5" t="str">
        <f aca="false">IF(COUNTIFS(Interaction_Log!$B$2:$B$3000,$A262,Interaction_Log!$E$2:$E$3000,"Details Sent")&gt;0,"Yes","No")</f>
        <v>No</v>
      </c>
      <c r="K262" s="2" t="str">
        <f aca="false">IF(AND(COUNTIFS(Interaction_Log!$B$2:$B$3000,$A262,Interaction_Log!$E$2:$E$3000,"Paid")&gt;0,$C262&lt;&gt;"Paid"),"Paid then re-opened","")</f>
        <v/>
      </c>
    </row>
    <row r="263" customFormat="false" ht="15" hidden="false" customHeight="false" outlineLevel="0" collapsed="false">
      <c r="A263" s="2" t="s">
        <v>1014</v>
      </c>
      <c r="B263" s="2" t="str">
        <f aca="false">IFERROR(INDEX(Lead_Master!$B$2:$B$1000,MATCH($A263,Lead_Master!$A$2:$A$1000,0)),"")</f>
        <v>Mehak Pandey</v>
      </c>
      <c r="C263" s="2" t="str">
        <f aca="false">IFERROR(LOOKUP(2,1/(Interaction_Log!$B$2:$B$3000=$A263),Interaction_Log!$E$2:$E$3000),"No contact")</f>
        <v>Details Sent</v>
      </c>
      <c r="D263" s="5" t="str">
        <f aca="false">IFERROR(INDEX(Lists!$B$2:$B$12,MATCH($C263,Lists!$A$2:$A$12,0)),"Unmapped")</f>
        <v>Follow Up</v>
      </c>
      <c r="E263" s="4" t="n">
        <f aca="false">IFERROR(LOOKUP(2,1/((Interaction_Log!$B$2:$B$3000=$A263)*(Interaction_Log!$G$2:$G$3000&lt;&gt;"")),Interaction_Log!$G$2:$G$3000),"")</f>
        <v>46258</v>
      </c>
      <c r="F263" s="5" t="str">
        <f aca="false">IFERROR(INDEX(Lists!$C$2:$C$12,MATCH($C263,Lists!$A$2:$A$12,0)),"")</f>
        <v>High</v>
      </c>
      <c r="G263" s="5" t="str">
        <f aca="false">IFERROR(INDEX(Lists!$D$2:$D$12,MATCH($C263,Lists!$A$2:$A$12,0)),"")</f>
        <v>Call</v>
      </c>
      <c r="H263" s="5" t="str">
        <f aca="false">IF(OR($D263="Converted",$D263="Closed"),"—",IF($E263="","Not Scheduled",IF($E263&lt;CRM_Dashboard!$B$3,"Overdue",IF($E263=CRM_Dashboard!$B$3,"Due Today","Upcoming"))))</f>
        <v>Overdue</v>
      </c>
      <c r="I263" s="5" t="n">
        <f aca="false">COUNTIF(Interaction_Log!$B$2:$B$3000,$A263)</f>
        <v>4</v>
      </c>
      <c r="J263" s="5" t="str">
        <f aca="false">IF(COUNTIFS(Interaction_Log!$B$2:$B$3000,$A263,Interaction_Log!$E$2:$E$3000,"Details Sent")&gt;0,"Yes","No")</f>
        <v>Yes</v>
      </c>
      <c r="K263" s="2" t="str">
        <f aca="false">IF(AND(COUNTIFS(Interaction_Log!$B$2:$B$3000,$A263,Interaction_Log!$E$2:$E$3000,"Paid")&gt;0,$C263&lt;&gt;"Paid"),"Paid then re-opened","")</f>
        <v/>
      </c>
    </row>
    <row r="264" customFormat="false" ht="15" hidden="false" customHeight="false" outlineLevel="0" collapsed="false">
      <c r="A264" s="2" t="s">
        <v>1018</v>
      </c>
      <c r="B264" s="2" t="str">
        <f aca="false">IFERROR(INDEX(Lead_Master!$B$2:$B$1000,MATCH($A264,Lead_Master!$A$2:$A$1000,0)),"")</f>
        <v>Sneha Gupta</v>
      </c>
      <c r="C264" s="2" t="str">
        <f aca="false">IFERROR(LOOKUP(2,1/(Interaction_Log!$B$2:$B$3000=$A264),Interaction_Log!$E$2:$E$3000),"No contact")</f>
        <v>DNP</v>
      </c>
      <c r="D264" s="5" t="str">
        <f aca="false">IFERROR(INDEX(Lists!$B$2:$B$12,MATCH($C264,Lists!$A$2:$A$12,0)),"Unmapped")</f>
        <v>Pending</v>
      </c>
      <c r="E264" s="4" t="str">
        <f aca="false">IFERROR(LOOKUP(2,1/((Interaction_Log!$B$2:$B$3000=$A264)*(Interaction_Log!$G$2:$G$3000&lt;&gt;"")),Interaction_Log!$G$2:$G$3000),"")</f>
        <v/>
      </c>
      <c r="F264" s="5" t="str">
        <f aca="false">IFERROR(INDEX(Lists!$C$2:$C$12,MATCH($C264,Lists!$A$2:$A$12,0)),"")</f>
        <v>Low</v>
      </c>
      <c r="G264" s="5" t="str">
        <f aca="false">IFERROR(INDEX(Lists!$D$2:$D$12,MATCH($C264,Lists!$A$2:$A$12,0)),"")</f>
        <v>Retry</v>
      </c>
      <c r="H264" s="5" t="str">
        <f aca="false">IF(OR($D264="Converted",$D264="Closed"),"—",IF($E264="","Not Scheduled",IF($E264&lt;CRM_Dashboard!$B$3,"Overdue",IF($E264=CRM_Dashboard!$B$3,"Due Today","Upcoming"))))</f>
        <v>Not Scheduled</v>
      </c>
      <c r="I264" s="5" t="n">
        <f aca="false">COUNTIF(Interaction_Log!$B$2:$B$3000,$A264)</f>
        <v>2</v>
      </c>
      <c r="J264" s="5" t="str">
        <f aca="false">IF(COUNTIFS(Interaction_Log!$B$2:$B$3000,$A264,Interaction_Log!$E$2:$E$3000,"Details Sent")&gt;0,"Yes","No")</f>
        <v>No</v>
      </c>
      <c r="K264" s="2" t="str">
        <f aca="false">IF(AND(COUNTIFS(Interaction_Log!$B$2:$B$3000,$A264,Interaction_Log!$E$2:$E$3000,"Paid")&gt;0,$C264&lt;&gt;"Paid"),"Paid then re-opened","")</f>
        <v/>
      </c>
    </row>
    <row r="265" customFormat="false" ht="15" hidden="false" customHeight="false" outlineLevel="0" collapsed="false">
      <c r="A265" s="2" t="s">
        <v>1022</v>
      </c>
      <c r="B265" s="2" t="str">
        <f aca="false">IFERROR(INDEX(Lead_Master!$B$2:$B$1000,MATCH($A265,Lead_Master!$A$2:$A$1000,0)),"")</f>
        <v>Ananya Mehta</v>
      </c>
      <c r="C265" s="2" t="str">
        <f aca="false">IFERROR(LOOKUP(2,1/(Interaction_Log!$B$2:$B$3000=$A265),Interaction_Log!$E$2:$E$3000),"No contact")</f>
        <v>Paid</v>
      </c>
      <c r="D265" s="5" t="str">
        <f aca="false">IFERROR(INDEX(Lists!$B$2:$B$12,MATCH($C265,Lists!$A$2:$A$12,0)),"Unmapped")</f>
        <v>Converted</v>
      </c>
      <c r="E265" s="4" t="str">
        <f aca="false">IFERROR(LOOKUP(2,1/((Interaction_Log!$B$2:$B$3000=$A265)*(Interaction_Log!$G$2:$G$3000&lt;&gt;"")),Interaction_Log!$G$2:$G$3000),"")</f>
        <v/>
      </c>
      <c r="F265" s="5" t="str">
        <f aca="false">IFERROR(INDEX(Lists!$C$2:$C$12,MATCH($C265,Lists!$A$2:$A$12,0)),"")</f>
        <v>—</v>
      </c>
      <c r="G265" s="5" t="str">
        <f aca="false">IFERROR(INDEX(Lists!$D$2:$D$12,MATCH($C265,Lists!$A$2:$A$12,0)),"")</f>
        <v>Onboard</v>
      </c>
      <c r="H265" s="5" t="str">
        <f aca="false">IF(OR($D265="Converted",$D265="Closed"),"—",IF($E265="","Not Scheduled",IF($E265&lt;CRM_Dashboard!$B$3,"Overdue",IF($E265=CRM_Dashboard!$B$3,"Due Today","Upcoming"))))</f>
        <v>—</v>
      </c>
      <c r="I265" s="5" t="n">
        <f aca="false">COUNTIF(Interaction_Log!$B$2:$B$3000,$A265)</f>
        <v>4</v>
      </c>
      <c r="J265" s="5" t="str">
        <f aca="false">IF(COUNTIFS(Interaction_Log!$B$2:$B$3000,$A265,Interaction_Log!$E$2:$E$3000,"Details Sent")&gt;0,"Yes","No")</f>
        <v>Yes</v>
      </c>
      <c r="K265" s="2" t="str">
        <f aca="false">IF(AND(COUNTIFS(Interaction_Log!$B$2:$B$3000,$A265,Interaction_Log!$E$2:$E$3000,"Paid")&gt;0,$C265&lt;&gt;"Paid"),"Paid then re-opened","")</f>
        <v/>
      </c>
    </row>
    <row r="266" customFormat="false" ht="15" hidden="false" customHeight="false" outlineLevel="0" collapsed="false">
      <c r="A266" s="2" t="s">
        <v>1025</v>
      </c>
      <c r="B266" s="2" t="str">
        <f aca="false">IFERROR(INDEX(Lead_Master!$B$2:$B$1000,MATCH($A266,Lead_Master!$A$2:$A$1000,0)),"")</f>
        <v>Rahul Yadav</v>
      </c>
      <c r="C266" s="2" t="str">
        <f aca="false">IFERROR(LOOKUP(2,1/(Interaction_Log!$B$2:$B$3000=$A266),Interaction_Log!$E$2:$E$3000),"No contact")</f>
        <v>Paid</v>
      </c>
      <c r="D266" s="5" t="str">
        <f aca="false">IFERROR(INDEX(Lists!$B$2:$B$12,MATCH($C266,Lists!$A$2:$A$12,0)),"Unmapped")</f>
        <v>Converted</v>
      </c>
      <c r="E266" s="4" t="str">
        <f aca="false">IFERROR(LOOKUP(2,1/((Interaction_Log!$B$2:$B$3000=$A266)*(Interaction_Log!$G$2:$G$3000&lt;&gt;"")),Interaction_Log!$G$2:$G$3000),"")</f>
        <v/>
      </c>
      <c r="F266" s="5" t="str">
        <f aca="false">IFERROR(INDEX(Lists!$C$2:$C$12,MATCH($C266,Lists!$A$2:$A$12,0)),"")</f>
        <v>—</v>
      </c>
      <c r="G266" s="5" t="str">
        <f aca="false">IFERROR(INDEX(Lists!$D$2:$D$12,MATCH($C266,Lists!$A$2:$A$12,0)),"")</f>
        <v>Onboard</v>
      </c>
      <c r="H266" s="5" t="str">
        <f aca="false">IF(OR($D266="Converted",$D266="Closed"),"—",IF($E266="","Not Scheduled",IF($E266&lt;CRM_Dashboard!$B$3,"Overdue",IF($E266=CRM_Dashboard!$B$3,"Due Today","Upcoming"))))</f>
        <v>—</v>
      </c>
      <c r="I266" s="5" t="n">
        <f aca="false">COUNTIF(Interaction_Log!$B$2:$B$3000,$A266)</f>
        <v>1</v>
      </c>
      <c r="J266" s="5" t="str">
        <f aca="false">IF(COUNTIFS(Interaction_Log!$B$2:$B$3000,$A266,Interaction_Log!$E$2:$E$3000,"Details Sent")&gt;0,"Yes","No")</f>
        <v>No</v>
      </c>
      <c r="K266" s="2" t="str">
        <f aca="false">IF(AND(COUNTIFS(Interaction_Log!$B$2:$B$3000,$A266,Interaction_Log!$E$2:$E$3000,"Paid")&gt;0,$C266&lt;&gt;"Paid"),"Paid then re-opened","")</f>
        <v/>
      </c>
    </row>
    <row r="267" customFormat="false" ht="15" hidden="false" customHeight="false" outlineLevel="0" collapsed="false">
      <c r="A267" s="2" t="s">
        <v>1028</v>
      </c>
      <c r="B267" s="2" t="str">
        <f aca="false">IFERROR(INDEX(Lead_Master!$B$2:$B$1000,MATCH($A267,Lead_Master!$A$2:$A$1000,0)),"")</f>
        <v>Shreya Mishra</v>
      </c>
      <c r="C267" s="2" t="str">
        <f aca="false">IFERROR(LOOKUP(2,1/(Interaction_Log!$B$2:$B$3000=$A267),Interaction_Log!$E$2:$E$3000),"No contact")</f>
        <v>Follow Up</v>
      </c>
      <c r="D267" s="5" t="str">
        <f aca="false">IFERROR(INDEX(Lists!$B$2:$B$12,MATCH($C267,Lists!$A$2:$A$12,0)),"Unmapped")</f>
        <v>Follow Up</v>
      </c>
      <c r="E267" s="4" t="n">
        <f aca="false">IFERROR(LOOKUP(2,1/((Interaction_Log!$B$2:$B$3000=$A267)*(Interaction_Log!$G$2:$G$3000&lt;&gt;"")),Interaction_Log!$G$2:$G$3000),"")</f>
        <v>46278</v>
      </c>
      <c r="F267" s="5" t="str">
        <f aca="false">IFERROR(INDEX(Lists!$C$2:$C$12,MATCH($C267,Lists!$A$2:$A$12,0)),"")</f>
        <v>High</v>
      </c>
      <c r="G267" s="5" t="str">
        <f aca="false">IFERROR(INDEX(Lists!$D$2:$D$12,MATCH($C267,Lists!$A$2:$A$12,0)),"")</f>
        <v>Call</v>
      </c>
      <c r="H267" s="5" t="str">
        <f aca="false">IF(OR($D267="Converted",$D267="Closed"),"—",IF($E267="","Not Scheduled",IF($E267&lt;CRM_Dashboard!$B$3,"Overdue",IF($E267=CRM_Dashboard!$B$3,"Due Today","Upcoming"))))</f>
        <v>Overdue</v>
      </c>
      <c r="I267" s="5" t="n">
        <f aca="false">COUNTIF(Interaction_Log!$B$2:$B$3000,$A267)</f>
        <v>4</v>
      </c>
      <c r="J267" s="5" t="str">
        <f aca="false">IF(COUNTIFS(Interaction_Log!$B$2:$B$3000,$A267,Interaction_Log!$E$2:$E$3000,"Details Sent")&gt;0,"Yes","No")</f>
        <v>No</v>
      </c>
      <c r="K267" s="2" t="str">
        <f aca="false">IF(AND(COUNTIFS(Interaction_Log!$B$2:$B$3000,$A267,Interaction_Log!$E$2:$E$3000,"Paid")&gt;0,$C267&lt;&gt;"Paid"),"Paid then re-opened","")</f>
        <v/>
      </c>
    </row>
    <row r="268" customFormat="false" ht="15" hidden="false" customHeight="false" outlineLevel="0" collapsed="false">
      <c r="A268" s="2" t="s">
        <v>1032</v>
      </c>
      <c r="B268" s="2" t="str">
        <f aca="false">IFERROR(INDEX(Lead_Master!$B$2:$B$1000,MATCH($A268,Lead_Master!$A$2:$A$1000,0)),"")</f>
        <v>Harsh Kumar</v>
      </c>
      <c r="C268" s="2" t="str">
        <f aca="false">IFERROR(LOOKUP(2,1/(Interaction_Log!$B$2:$B$3000=$A268),Interaction_Log!$E$2:$E$3000),"No contact")</f>
        <v>Call Back Later</v>
      </c>
      <c r="D268" s="5" t="str">
        <f aca="false">IFERROR(INDEX(Lists!$B$2:$B$12,MATCH($C268,Lists!$A$2:$A$12,0)),"Unmapped")</f>
        <v>Pending</v>
      </c>
      <c r="E268" s="4" t="n">
        <f aca="false">IFERROR(LOOKUP(2,1/((Interaction_Log!$B$2:$B$3000=$A268)*(Interaction_Log!$G$2:$G$3000&lt;&gt;"")),Interaction_Log!$G$2:$G$3000),"")</f>
        <v>46256</v>
      </c>
      <c r="F268" s="5" t="str">
        <f aca="false">IFERROR(INDEX(Lists!$C$2:$C$12,MATCH($C268,Lists!$A$2:$A$12,0)),"")</f>
        <v>Medium</v>
      </c>
      <c r="G268" s="5" t="str">
        <f aca="false">IFERROR(INDEX(Lists!$D$2:$D$12,MATCH($C268,Lists!$A$2:$A$12,0)),"")</f>
        <v>Call</v>
      </c>
      <c r="H268" s="5" t="str">
        <f aca="false">IF(OR($D268="Converted",$D268="Closed"),"—",IF($E268="","Not Scheduled",IF($E268&lt;CRM_Dashboard!$B$3,"Overdue",IF($E268=CRM_Dashboard!$B$3,"Due Today","Upcoming"))))</f>
        <v>Overdue</v>
      </c>
      <c r="I268" s="5" t="n">
        <f aca="false">COUNTIF(Interaction_Log!$B$2:$B$3000,$A268)</f>
        <v>1</v>
      </c>
      <c r="J268" s="5" t="str">
        <f aca="false">IF(COUNTIFS(Interaction_Log!$B$2:$B$3000,$A268,Interaction_Log!$E$2:$E$3000,"Details Sent")&gt;0,"Yes","No")</f>
        <v>No</v>
      </c>
      <c r="K268" s="2" t="str">
        <f aca="false">IF(AND(COUNTIFS(Interaction_Log!$B$2:$B$3000,$A268,Interaction_Log!$E$2:$E$3000,"Paid")&gt;0,$C268&lt;&gt;"Paid"),"Paid then re-opened","")</f>
        <v/>
      </c>
    </row>
    <row r="269" customFormat="false" ht="15" hidden="false" customHeight="false" outlineLevel="0" collapsed="false">
      <c r="A269" s="2" t="s">
        <v>1036</v>
      </c>
      <c r="B269" s="2" t="str">
        <f aca="false">IFERROR(INDEX(Lead_Master!$B$2:$B$1000,MATCH($A269,Lead_Master!$A$2:$A$1000,0)),"")</f>
        <v>Rohan Agarwal</v>
      </c>
      <c r="C269" s="2" t="str">
        <f aca="false">IFERROR(LOOKUP(2,1/(Interaction_Log!$B$2:$B$3000=$A269),Interaction_Log!$E$2:$E$3000),"No contact")</f>
        <v>Follow Up</v>
      </c>
      <c r="D269" s="5" t="str">
        <f aca="false">IFERROR(INDEX(Lists!$B$2:$B$12,MATCH($C269,Lists!$A$2:$A$12,0)),"Unmapped")</f>
        <v>Follow Up</v>
      </c>
      <c r="E269" s="4" t="n">
        <f aca="false">IFERROR(LOOKUP(2,1/((Interaction_Log!$B$2:$B$3000=$A269)*(Interaction_Log!$G$2:$G$3000&lt;&gt;"")),Interaction_Log!$G$2:$G$3000),"")</f>
        <v>46264</v>
      </c>
      <c r="F269" s="5" t="str">
        <f aca="false">IFERROR(INDEX(Lists!$C$2:$C$12,MATCH($C269,Lists!$A$2:$A$12,0)),"")</f>
        <v>High</v>
      </c>
      <c r="G269" s="5" t="str">
        <f aca="false">IFERROR(INDEX(Lists!$D$2:$D$12,MATCH($C269,Lists!$A$2:$A$12,0)),"")</f>
        <v>Call</v>
      </c>
      <c r="H269" s="5" t="str">
        <f aca="false">IF(OR($D269="Converted",$D269="Closed"),"—",IF($E269="","Not Scheduled",IF($E269&lt;CRM_Dashboard!$B$3,"Overdue",IF($E269=CRM_Dashboard!$B$3,"Due Today","Upcoming"))))</f>
        <v>Overdue</v>
      </c>
      <c r="I269" s="5" t="n">
        <f aca="false">COUNTIF(Interaction_Log!$B$2:$B$3000,$A269)</f>
        <v>3</v>
      </c>
      <c r="J269" s="5" t="str">
        <f aca="false">IF(COUNTIFS(Interaction_Log!$B$2:$B$3000,$A269,Interaction_Log!$E$2:$E$3000,"Details Sent")&gt;0,"Yes","No")</f>
        <v>Yes</v>
      </c>
      <c r="K269" s="2" t="str">
        <f aca="false">IF(AND(COUNTIFS(Interaction_Log!$B$2:$B$3000,$A269,Interaction_Log!$E$2:$E$3000,"Paid")&gt;0,$C269&lt;&gt;"Paid"),"Paid then re-opened","")</f>
        <v/>
      </c>
    </row>
    <row r="270" customFormat="false" ht="15" hidden="false" customHeight="false" outlineLevel="0" collapsed="false">
      <c r="A270" s="2" t="s">
        <v>1040</v>
      </c>
      <c r="B270" s="2" t="str">
        <f aca="false">IFERROR(INDEX(Lead_Master!$B$2:$B$1000,MATCH($A270,Lead_Master!$A$2:$A$1000,0)),"")</f>
        <v>Mehak Sharma</v>
      </c>
      <c r="C270" s="2" t="str">
        <f aca="false">IFERROR(LOOKUP(2,1/(Interaction_Log!$B$2:$B$3000=$A270),Interaction_Log!$E$2:$E$3000),"No contact")</f>
        <v>Not Interested</v>
      </c>
      <c r="D270" s="5" t="str">
        <f aca="false">IFERROR(INDEX(Lists!$B$2:$B$12,MATCH($C270,Lists!$A$2:$A$12,0)),"Unmapped")</f>
        <v>Closed</v>
      </c>
      <c r="E270" s="4" t="str">
        <f aca="false">IFERROR(LOOKUP(2,1/((Interaction_Log!$B$2:$B$3000=$A270)*(Interaction_Log!$G$2:$G$3000&lt;&gt;"")),Interaction_Log!$G$2:$G$3000),"")</f>
        <v/>
      </c>
      <c r="F270" s="5" t="str">
        <f aca="false">IFERROR(INDEX(Lists!$C$2:$C$12,MATCH($C270,Lists!$A$2:$A$12,0)),"")</f>
        <v>—</v>
      </c>
      <c r="G270" s="5" t="str">
        <f aca="false">IFERROR(INDEX(Lists!$D$2:$D$12,MATCH($C270,Lists!$A$2:$A$12,0)),"")</f>
        <v>No action</v>
      </c>
      <c r="H270" s="5" t="str">
        <f aca="false">IF(OR($D270="Converted",$D270="Closed"),"—",IF($E270="","Not Scheduled",IF($E270&lt;CRM_Dashboard!$B$3,"Overdue",IF($E270=CRM_Dashboard!$B$3,"Due Today","Upcoming"))))</f>
        <v>—</v>
      </c>
      <c r="I270" s="5" t="n">
        <f aca="false">COUNTIF(Interaction_Log!$B$2:$B$3000,$A270)</f>
        <v>2</v>
      </c>
      <c r="J270" s="5" t="str">
        <f aca="false">IF(COUNTIFS(Interaction_Log!$B$2:$B$3000,$A270,Interaction_Log!$E$2:$E$3000,"Details Sent")&gt;0,"Yes","No")</f>
        <v>No</v>
      </c>
      <c r="K270" s="2" t="str">
        <f aca="false">IF(AND(COUNTIFS(Interaction_Log!$B$2:$B$3000,$A270,Interaction_Log!$E$2:$E$3000,"Paid")&gt;0,$C270&lt;&gt;"Paid"),"Paid then re-opened","")</f>
        <v/>
      </c>
    </row>
    <row r="271" customFormat="false" ht="15" hidden="false" customHeight="false" outlineLevel="0" collapsed="false">
      <c r="A271" s="2" t="s">
        <v>1044</v>
      </c>
      <c r="B271" s="2" t="str">
        <f aca="false">IFERROR(INDEX(Lead_Master!$B$2:$B$1000,MATCH($A271,Lead_Master!$A$2:$A$1000,0)),"")</f>
        <v>Mehak Sharma</v>
      </c>
      <c r="C271" s="2" t="str">
        <f aca="false">IFERROR(LOOKUP(2,1/(Interaction_Log!$B$2:$B$3000=$A271),Interaction_Log!$E$2:$E$3000),"No contact")</f>
        <v>Details Sent</v>
      </c>
      <c r="D271" s="5" t="str">
        <f aca="false">IFERROR(INDEX(Lists!$B$2:$B$12,MATCH($C271,Lists!$A$2:$A$12,0)),"Unmapped")</f>
        <v>Follow Up</v>
      </c>
      <c r="E271" s="4" t="n">
        <f aca="false">IFERROR(LOOKUP(2,1/((Interaction_Log!$B$2:$B$3000=$A271)*(Interaction_Log!$G$2:$G$3000&lt;&gt;"")),Interaction_Log!$G$2:$G$3000),"")</f>
        <v>46239</v>
      </c>
      <c r="F271" s="5" t="str">
        <f aca="false">IFERROR(INDEX(Lists!$C$2:$C$12,MATCH($C271,Lists!$A$2:$A$12,0)),"")</f>
        <v>High</v>
      </c>
      <c r="G271" s="5" t="str">
        <f aca="false">IFERROR(INDEX(Lists!$D$2:$D$12,MATCH($C271,Lists!$A$2:$A$12,0)),"")</f>
        <v>Call</v>
      </c>
      <c r="H271" s="5" t="str">
        <f aca="false">IF(OR($D271="Converted",$D271="Closed"),"—",IF($E271="","Not Scheduled",IF($E271&lt;CRM_Dashboard!$B$3,"Overdue",IF($E271=CRM_Dashboard!$B$3,"Due Today","Upcoming"))))</f>
        <v>Overdue</v>
      </c>
      <c r="I271" s="5" t="n">
        <f aca="false">COUNTIF(Interaction_Log!$B$2:$B$3000,$A271)</f>
        <v>1</v>
      </c>
      <c r="J271" s="5" t="str">
        <f aca="false">IF(COUNTIFS(Interaction_Log!$B$2:$B$3000,$A271,Interaction_Log!$E$2:$E$3000,"Details Sent")&gt;0,"Yes","No")</f>
        <v>Yes</v>
      </c>
      <c r="K271" s="2" t="str">
        <f aca="false">IF(AND(COUNTIFS(Interaction_Log!$B$2:$B$3000,$A271,Interaction_Log!$E$2:$E$3000,"Paid")&gt;0,$C271&lt;&gt;"Paid"),"Paid then re-opened","")</f>
        <v/>
      </c>
    </row>
    <row r="272" customFormat="false" ht="15" hidden="false" customHeight="false" outlineLevel="0" collapsed="false">
      <c r="A272" s="2" t="s">
        <v>1047</v>
      </c>
      <c r="B272" s="2" t="str">
        <f aca="false">IFERROR(INDEX(Lead_Master!$B$2:$B$1000,MATCH($A272,Lead_Master!$A$2:$A$1000,0)),"")</f>
        <v>Vivek Sharma</v>
      </c>
      <c r="C272" s="2" t="str">
        <f aca="false">IFERROR(LOOKUP(2,1/(Interaction_Log!$B$2:$B$3000=$A272),Interaction_Log!$E$2:$E$3000),"No contact")</f>
        <v>Call Cut</v>
      </c>
      <c r="D272" s="5" t="str">
        <f aca="false">IFERROR(INDEX(Lists!$B$2:$B$12,MATCH($C272,Lists!$A$2:$A$12,0)),"Unmapped")</f>
        <v>Pending</v>
      </c>
      <c r="E272" s="4" t="str">
        <f aca="false">IFERROR(LOOKUP(2,1/((Interaction_Log!$B$2:$B$3000=$A272)*(Interaction_Log!$G$2:$G$3000&lt;&gt;"")),Interaction_Log!$G$2:$G$3000),"")</f>
        <v/>
      </c>
      <c r="F272" s="5" t="str">
        <f aca="false">IFERROR(INDEX(Lists!$C$2:$C$12,MATCH($C272,Lists!$A$2:$A$12,0)),"")</f>
        <v>Medium</v>
      </c>
      <c r="G272" s="5" t="str">
        <f aca="false">IFERROR(INDEX(Lists!$D$2:$D$12,MATCH($C272,Lists!$A$2:$A$12,0)),"")</f>
        <v>Retry</v>
      </c>
      <c r="H272" s="5" t="str">
        <f aca="false">IF(OR($D272="Converted",$D272="Closed"),"—",IF($E272="","Not Scheduled",IF($E272&lt;CRM_Dashboard!$B$3,"Overdue",IF($E272=CRM_Dashboard!$B$3,"Due Today","Upcoming"))))</f>
        <v>Not Scheduled</v>
      </c>
      <c r="I272" s="5" t="n">
        <f aca="false">COUNTIF(Interaction_Log!$B$2:$B$3000,$A272)</f>
        <v>3</v>
      </c>
      <c r="J272" s="5" t="str">
        <f aca="false">IF(COUNTIFS(Interaction_Log!$B$2:$B$3000,$A272,Interaction_Log!$E$2:$E$3000,"Details Sent")&gt;0,"Yes","No")</f>
        <v>Yes</v>
      </c>
      <c r="K272" s="2" t="str">
        <f aca="false">IF(AND(COUNTIFS(Interaction_Log!$B$2:$B$3000,$A272,Interaction_Log!$E$2:$E$3000,"Paid")&gt;0,$C272&lt;&gt;"Paid"),"Paid then re-opened","")</f>
        <v/>
      </c>
    </row>
    <row r="273" customFormat="false" ht="15" hidden="false" customHeight="false" outlineLevel="0" collapsed="false">
      <c r="A273" s="2" t="s">
        <v>1051</v>
      </c>
      <c r="B273" s="2" t="str">
        <f aca="false">IFERROR(INDEX(Lead_Master!$B$2:$B$1000,MATCH($A273,Lead_Master!$A$2:$A$1000,0)),"")</f>
        <v>Rohan Sharma</v>
      </c>
      <c r="C273" s="2" t="str">
        <f aca="false">IFERROR(LOOKUP(2,1/(Interaction_Log!$B$2:$B$3000=$A273),Interaction_Log!$E$2:$E$3000),"No contact")</f>
        <v>DNP</v>
      </c>
      <c r="D273" s="5" t="str">
        <f aca="false">IFERROR(INDEX(Lists!$B$2:$B$12,MATCH($C273,Lists!$A$2:$A$12,0)),"Unmapped")</f>
        <v>Pending</v>
      </c>
      <c r="E273" s="4" t="str">
        <f aca="false">IFERROR(LOOKUP(2,1/((Interaction_Log!$B$2:$B$3000=$A273)*(Interaction_Log!$G$2:$G$3000&lt;&gt;"")),Interaction_Log!$G$2:$G$3000),"")</f>
        <v/>
      </c>
      <c r="F273" s="5" t="str">
        <f aca="false">IFERROR(INDEX(Lists!$C$2:$C$12,MATCH($C273,Lists!$A$2:$A$12,0)),"")</f>
        <v>Low</v>
      </c>
      <c r="G273" s="5" t="str">
        <f aca="false">IFERROR(INDEX(Lists!$D$2:$D$12,MATCH($C273,Lists!$A$2:$A$12,0)),"")</f>
        <v>Retry</v>
      </c>
      <c r="H273" s="5" t="str">
        <f aca="false">IF(OR($D273="Converted",$D273="Closed"),"—",IF($E273="","Not Scheduled",IF($E273&lt;CRM_Dashboard!$B$3,"Overdue",IF($E273=CRM_Dashboard!$B$3,"Due Today","Upcoming"))))</f>
        <v>Not Scheduled</v>
      </c>
      <c r="I273" s="5" t="n">
        <f aca="false">COUNTIF(Interaction_Log!$B$2:$B$3000,$A273)</f>
        <v>1</v>
      </c>
      <c r="J273" s="5" t="str">
        <f aca="false">IF(COUNTIFS(Interaction_Log!$B$2:$B$3000,$A273,Interaction_Log!$E$2:$E$3000,"Details Sent")&gt;0,"Yes","No")</f>
        <v>No</v>
      </c>
      <c r="K273" s="2" t="str">
        <f aca="false">IF(AND(COUNTIFS(Interaction_Log!$B$2:$B$3000,$A273,Interaction_Log!$E$2:$E$3000,"Paid")&gt;0,$C273&lt;&gt;"Paid"),"Paid then re-opened","")</f>
        <v/>
      </c>
    </row>
    <row r="274" customFormat="false" ht="15" hidden="false" customHeight="false" outlineLevel="0" collapsed="false">
      <c r="A274" s="2" t="s">
        <v>1054</v>
      </c>
      <c r="B274" s="2" t="str">
        <f aca="false">IFERROR(INDEX(Lead_Master!$B$2:$B$1000,MATCH($A274,Lead_Master!$A$2:$A$1000,0)),"")</f>
        <v>Shreya Mehta</v>
      </c>
      <c r="C274" s="2" t="str">
        <f aca="false">IFERROR(LOOKUP(2,1/(Interaction_Log!$B$2:$B$3000=$A274),Interaction_Log!$E$2:$E$3000),"No contact")</f>
        <v>Switch Off</v>
      </c>
      <c r="D274" s="5" t="str">
        <f aca="false">IFERROR(INDEX(Lists!$B$2:$B$12,MATCH($C274,Lists!$A$2:$A$12,0)),"Unmapped")</f>
        <v>Pending</v>
      </c>
      <c r="E274" s="4" t="str">
        <f aca="false">IFERROR(LOOKUP(2,1/((Interaction_Log!$B$2:$B$3000=$A274)*(Interaction_Log!$G$2:$G$3000&lt;&gt;"")),Interaction_Log!$G$2:$G$3000),"")</f>
        <v/>
      </c>
      <c r="F274" s="5" t="str">
        <f aca="false">IFERROR(INDEX(Lists!$C$2:$C$12,MATCH($C274,Lists!$A$2:$A$12,0)),"")</f>
        <v>Low</v>
      </c>
      <c r="G274" s="5" t="str">
        <f aca="false">IFERROR(INDEX(Lists!$D$2:$D$12,MATCH($C274,Lists!$A$2:$A$12,0)),"")</f>
        <v>Retry</v>
      </c>
      <c r="H274" s="5" t="str">
        <f aca="false">IF(OR($D274="Converted",$D274="Closed"),"—",IF($E274="","Not Scheduled",IF($E274&lt;CRM_Dashboard!$B$3,"Overdue",IF($E274=CRM_Dashboard!$B$3,"Due Today","Upcoming"))))</f>
        <v>Not Scheduled</v>
      </c>
      <c r="I274" s="5" t="n">
        <f aca="false">COUNTIF(Interaction_Log!$B$2:$B$3000,$A274)</f>
        <v>1</v>
      </c>
      <c r="J274" s="5" t="str">
        <f aca="false">IF(COUNTIFS(Interaction_Log!$B$2:$B$3000,$A274,Interaction_Log!$E$2:$E$3000,"Details Sent")&gt;0,"Yes","No")</f>
        <v>No</v>
      </c>
      <c r="K274" s="2" t="str">
        <f aca="false">IF(AND(COUNTIFS(Interaction_Log!$B$2:$B$3000,$A274,Interaction_Log!$E$2:$E$3000,"Paid")&gt;0,$C274&lt;&gt;"Paid"),"Paid then re-opened","")</f>
        <v/>
      </c>
    </row>
    <row r="275" customFormat="false" ht="15" hidden="false" customHeight="false" outlineLevel="0" collapsed="false">
      <c r="A275" s="2" t="s">
        <v>1057</v>
      </c>
      <c r="B275" s="2" t="str">
        <f aca="false">IFERROR(INDEX(Lead_Master!$B$2:$B$1000,MATCH($A275,Lead_Master!$A$2:$A$1000,0)),"")</f>
        <v>Karan Kumar</v>
      </c>
      <c r="C275" s="2" t="str">
        <f aca="false">IFERROR(LOOKUP(2,1/(Interaction_Log!$B$2:$B$3000=$A275),Interaction_Log!$E$2:$E$3000),"No contact")</f>
        <v>DNP</v>
      </c>
      <c r="D275" s="5" t="str">
        <f aca="false">IFERROR(INDEX(Lists!$B$2:$B$12,MATCH($C275,Lists!$A$2:$A$12,0)),"Unmapped")</f>
        <v>Pending</v>
      </c>
      <c r="E275" s="4" t="str">
        <f aca="false">IFERROR(LOOKUP(2,1/((Interaction_Log!$B$2:$B$3000=$A275)*(Interaction_Log!$G$2:$G$3000&lt;&gt;"")),Interaction_Log!$G$2:$G$3000),"")</f>
        <v/>
      </c>
      <c r="F275" s="5" t="str">
        <f aca="false">IFERROR(INDEX(Lists!$C$2:$C$12,MATCH($C275,Lists!$A$2:$A$12,0)),"")</f>
        <v>Low</v>
      </c>
      <c r="G275" s="5" t="str">
        <f aca="false">IFERROR(INDEX(Lists!$D$2:$D$12,MATCH($C275,Lists!$A$2:$A$12,0)),"")</f>
        <v>Retry</v>
      </c>
      <c r="H275" s="5" t="str">
        <f aca="false">IF(OR($D275="Converted",$D275="Closed"),"—",IF($E275="","Not Scheduled",IF($E275&lt;CRM_Dashboard!$B$3,"Overdue",IF($E275=CRM_Dashboard!$B$3,"Due Today","Upcoming"))))</f>
        <v>Not Scheduled</v>
      </c>
      <c r="I275" s="5" t="n">
        <f aca="false">COUNTIF(Interaction_Log!$B$2:$B$3000,$A275)</f>
        <v>3</v>
      </c>
      <c r="J275" s="5" t="str">
        <f aca="false">IF(COUNTIFS(Interaction_Log!$B$2:$B$3000,$A275,Interaction_Log!$E$2:$E$3000,"Details Sent")&gt;0,"Yes","No")</f>
        <v>No</v>
      </c>
      <c r="K275" s="2" t="str">
        <f aca="false">IF(AND(COUNTIFS(Interaction_Log!$B$2:$B$3000,$A275,Interaction_Log!$E$2:$E$3000,"Paid")&gt;0,$C275&lt;&gt;"Paid"),"Paid then re-opened","")</f>
        <v/>
      </c>
    </row>
    <row r="276" customFormat="false" ht="15" hidden="false" customHeight="false" outlineLevel="0" collapsed="false">
      <c r="A276" s="2" t="s">
        <v>1060</v>
      </c>
      <c r="B276" s="2" t="str">
        <f aca="false">IFERROR(INDEX(Lead_Master!$B$2:$B$1000,MATCH($A276,Lead_Master!$A$2:$A$1000,0)),"")</f>
        <v>Sakshi Verma</v>
      </c>
      <c r="C276" s="2" t="str">
        <f aca="false">IFERROR(LOOKUP(2,1/(Interaction_Log!$B$2:$B$3000=$A276),Interaction_Log!$E$2:$E$3000),"No contact")</f>
        <v>Call Back Later</v>
      </c>
      <c r="D276" s="5" t="str">
        <f aca="false">IFERROR(INDEX(Lists!$B$2:$B$12,MATCH($C276,Lists!$A$2:$A$12,0)),"Unmapped")</f>
        <v>Pending</v>
      </c>
      <c r="E276" s="4" t="n">
        <f aca="false">IFERROR(LOOKUP(2,1/((Interaction_Log!$B$2:$B$3000=$A276)*(Interaction_Log!$G$2:$G$3000&lt;&gt;"")),Interaction_Log!$G$2:$G$3000),"")</f>
        <v>46212</v>
      </c>
      <c r="F276" s="5" t="str">
        <f aca="false">IFERROR(INDEX(Lists!$C$2:$C$12,MATCH($C276,Lists!$A$2:$A$12,0)),"")</f>
        <v>Medium</v>
      </c>
      <c r="G276" s="5" t="str">
        <f aca="false">IFERROR(INDEX(Lists!$D$2:$D$12,MATCH($C276,Lists!$A$2:$A$12,0)),"")</f>
        <v>Call</v>
      </c>
      <c r="H276" s="5" t="str">
        <f aca="false">IF(OR($D276="Converted",$D276="Closed"),"—",IF($E276="","Not Scheduled",IF($E276&lt;CRM_Dashboard!$B$3,"Overdue",IF($E276=CRM_Dashboard!$B$3,"Due Today","Upcoming"))))</f>
        <v>Overdue</v>
      </c>
      <c r="I276" s="5" t="n">
        <f aca="false">COUNTIF(Interaction_Log!$B$2:$B$3000,$A276)</f>
        <v>3</v>
      </c>
      <c r="J276" s="5" t="str">
        <f aca="false">IF(COUNTIFS(Interaction_Log!$B$2:$B$3000,$A276,Interaction_Log!$E$2:$E$3000,"Details Sent")&gt;0,"Yes","No")</f>
        <v>No</v>
      </c>
      <c r="K276" s="2" t="str">
        <f aca="false">IF(AND(COUNTIFS(Interaction_Log!$B$2:$B$3000,$A276,Interaction_Log!$E$2:$E$3000,"Paid")&gt;0,$C276&lt;&gt;"Paid"),"Paid then re-opened","")</f>
        <v/>
      </c>
    </row>
    <row r="277" customFormat="false" ht="15" hidden="false" customHeight="false" outlineLevel="0" collapsed="false">
      <c r="A277" s="2" t="s">
        <v>1064</v>
      </c>
      <c r="B277" s="2" t="str">
        <f aca="false">IFERROR(INDEX(Lead_Master!$B$2:$B$1000,MATCH($A277,Lead_Master!$A$2:$A$1000,0)),"")</f>
        <v>Shreya Agarwal</v>
      </c>
      <c r="C277" s="2" t="str">
        <f aca="false">IFERROR(LOOKUP(2,1/(Interaction_Log!$B$2:$B$3000=$A277),Interaction_Log!$E$2:$E$3000),"No contact")</f>
        <v>Paid</v>
      </c>
      <c r="D277" s="5" t="str">
        <f aca="false">IFERROR(INDEX(Lists!$B$2:$B$12,MATCH($C277,Lists!$A$2:$A$12,0)),"Unmapped")</f>
        <v>Converted</v>
      </c>
      <c r="E277" s="4" t="str">
        <f aca="false">IFERROR(LOOKUP(2,1/((Interaction_Log!$B$2:$B$3000=$A277)*(Interaction_Log!$G$2:$G$3000&lt;&gt;"")),Interaction_Log!$G$2:$G$3000),"")</f>
        <v/>
      </c>
      <c r="F277" s="5" t="str">
        <f aca="false">IFERROR(INDEX(Lists!$C$2:$C$12,MATCH($C277,Lists!$A$2:$A$12,0)),"")</f>
        <v>—</v>
      </c>
      <c r="G277" s="5" t="str">
        <f aca="false">IFERROR(INDEX(Lists!$D$2:$D$12,MATCH($C277,Lists!$A$2:$A$12,0)),"")</f>
        <v>Onboard</v>
      </c>
      <c r="H277" s="5" t="str">
        <f aca="false">IF(OR($D277="Converted",$D277="Closed"),"—",IF($E277="","Not Scheduled",IF($E277&lt;CRM_Dashboard!$B$3,"Overdue",IF($E277=CRM_Dashboard!$B$3,"Due Today","Upcoming"))))</f>
        <v>—</v>
      </c>
      <c r="I277" s="5" t="n">
        <f aca="false">COUNTIF(Interaction_Log!$B$2:$B$3000,$A277)</f>
        <v>3</v>
      </c>
      <c r="J277" s="5" t="str">
        <f aca="false">IF(COUNTIFS(Interaction_Log!$B$2:$B$3000,$A277,Interaction_Log!$E$2:$E$3000,"Details Sent")&gt;0,"Yes","No")</f>
        <v>Yes</v>
      </c>
      <c r="K277" s="2" t="str">
        <f aca="false">IF(AND(COUNTIFS(Interaction_Log!$B$2:$B$3000,$A277,Interaction_Log!$E$2:$E$3000,"Paid")&gt;0,$C277&lt;&gt;"Paid"),"Paid then re-opened","")</f>
        <v/>
      </c>
    </row>
    <row r="278" customFormat="false" ht="15" hidden="false" customHeight="false" outlineLevel="0" collapsed="false">
      <c r="A278" s="2" t="s">
        <v>1068</v>
      </c>
      <c r="B278" s="2" t="str">
        <f aca="false">IFERROR(INDEX(Lead_Master!$B$2:$B$1000,MATCH($A278,Lead_Master!$A$2:$A$1000,0)),"")</f>
        <v>Shreya Mishra</v>
      </c>
      <c r="C278" s="2" t="str">
        <f aca="false">IFERROR(LOOKUP(2,1/(Interaction_Log!$B$2:$B$3000=$A278),Interaction_Log!$E$2:$E$3000),"No contact")</f>
        <v>Not Interested</v>
      </c>
      <c r="D278" s="5" t="str">
        <f aca="false">IFERROR(INDEX(Lists!$B$2:$B$12,MATCH($C278,Lists!$A$2:$A$12,0)),"Unmapped")</f>
        <v>Closed</v>
      </c>
      <c r="E278" s="4" t="str">
        <f aca="false">IFERROR(LOOKUP(2,1/((Interaction_Log!$B$2:$B$3000=$A278)*(Interaction_Log!$G$2:$G$3000&lt;&gt;"")),Interaction_Log!$G$2:$G$3000),"")</f>
        <v/>
      </c>
      <c r="F278" s="5" t="str">
        <f aca="false">IFERROR(INDEX(Lists!$C$2:$C$12,MATCH($C278,Lists!$A$2:$A$12,0)),"")</f>
        <v>—</v>
      </c>
      <c r="G278" s="5" t="str">
        <f aca="false">IFERROR(INDEX(Lists!$D$2:$D$12,MATCH($C278,Lists!$A$2:$A$12,0)),"")</f>
        <v>No action</v>
      </c>
      <c r="H278" s="5" t="str">
        <f aca="false">IF(OR($D278="Converted",$D278="Closed"),"—",IF($E278="","Not Scheduled",IF($E278&lt;CRM_Dashboard!$B$3,"Overdue",IF($E278=CRM_Dashboard!$B$3,"Due Today","Upcoming"))))</f>
        <v>—</v>
      </c>
      <c r="I278" s="5" t="n">
        <f aca="false">COUNTIF(Interaction_Log!$B$2:$B$3000,$A278)</f>
        <v>3</v>
      </c>
      <c r="J278" s="5" t="str">
        <f aca="false">IF(COUNTIFS(Interaction_Log!$B$2:$B$3000,$A278,Interaction_Log!$E$2:$E$3000,"Details Sent")&gt;0,"Yes","No")</f>
        <v>Yes</v>
      </c>
      <c r="K278" s="2" t="str">
        <f aca="false">IF(AND(COUNTIFS(Interaction_Log!$B$2:$B$3000,$A278,Interaction_Log!$E$2:$E$3000,"Paid")&gt;0,$C278&lt;&gt;"Paid"),"Paid then re-opened","")</f>
        <v/>
      </c>
    </row>
    <row r="279" customFormat="false" ht="15" hidden="false" customHeight="false" outlineLevel="0" collapsed="false">
      <c r="A279" s="2" t="s">
        <v>1071</v>
      </c>
      <c r="B279" s="2" t="str">
        <f aca="false">IFERROR(INDEX(Lead_Master!$B$2:$B$1000,MATCH($A279,Lead_Master!$A$2:$A$1000,0)),"")</f>
        <v>Harsh Jain</v>
      </c>
      <c r="C279" s="2" t="str">
        <f aca="false">IFERROR(LOOKUP(2,1/(Interaction_Log!$B$2:$B$3000=$A279),Interaction_Log!$E$2:$E$3000),"No contact")</f>
        <v>Switch Off</v>
      </c>
      <c r="D279" s="5" t="str">
        <f aca="false">IFERROR(INDEX(Lists!$B$2:$B$12,MATCH($C279,Lists!$A$2:$A$12,0)),"Unmapped")</f>
        <v>Pending</v>
      </c>
      <c r="E279" s="4" t="str">
        <f aca="false">IFERROR(LOOKUP(2,1/((Interaction_Log!$B$2:$B$3000=$A279)*(Interaction_Log!$G$2:$G$3000&lt;&gt;"")),Interaction_Log!$G$2:$G$3000),"")</f>
        <v/>
      </c>
      <c r="F279" s="5" t="str">
        <f aca="false">IFERROR(INDEX(Lists!$C$2:$C$12,MATCH($C279,Lists!$A$2:$A$12,0)),"")</f>
        <v>Low</v>
      </c>
      <c r="G279" s="5" t="str">
        <f aca="false">IFERROR(INDEX(Lists!$D$2:$D$12,MATCH($C279,Lists!$A$2:$A$12,0)),"")</f>
        <v>Retry</v>
      </c>
      <c r="H279" s="5" t="str">
        <f aca="false">IF(OR($D279="Converted",$D279="Closed"),"—",IF($E279="","Not Scheduled",IF($E279&lt;CRM_Dashboard!$B$3,"Overdue",IF($E279=CRM_Dashboard!$B$3,"Due Today","Upcoming"))))</f>
        <v>Not Scheduled</v>
      </c>
      <c r="I279" s="5" t="n">
        <f aca="false">COUNTIF(Interaction_Log!$B$2:$B$3000,$A279)</f>
        <v>3</v>
      </c>
      <c r="J279" s="5" t="str">
        <f aca="false">IF(COUNTIFS(Interaction_Log!$B$2:$B$3000,$A279,Interaction_Log!$E$2:$E$3000,"Details Sent")&gt;0,"Yes","No")</f>
        <v>No</v>
      </c>
      <c r="K279" s="2" t="str">
        <f aca="false">IF(AND(COUNTIFS(Interaction_Log!$B$2:$B$3000,$A279,Interaction_Log!$E$2:$E$3000,"Paid")&gt;0,$C279&lt;&gt;"Paid"),"Paid then re-opened","")</f>
        <v/>
      </c>
    </row>
    <row r="280" customFormat="false" ht="15" hidden="false" customHeight="false" outlineLevel="0" collapsed="false">
      <c r="A280" s="2" t="s">
        <v>1075</v>
      </c>
      <c r="B280" s="2" t="str">
        <f aca="false">IFERROR(INDEX(Lead_Master!$B$2:$B$1000,MATCH($A280,Lead_Master!$A$2:$A$1000,0)),"")</f>
        <v>Vivek Srivastava</v>
      </c>
      <c r="C280" s="2" t="str">
        <f aca="false">IFERROR(LOOKUP(2,1/(Interaction_Log!$B$2:$B$3000=$A280),Interaction_Log!$E$2:$E$3000),"No contact")</f>
        <v>DNP</v>
      </c>
      <c r="D280" s="5" t="str">
        <f aca="false">IFERROR(INDEX(Lists!$B$2:$B$12,MATCH($C280,Lists!$A$2:$A$12,0)),"Unmapped")</f>
        <v>Pending</v>
      </c>
      <c r="E280" s="4" t="str">
        <f aca="false">IFERROR(LOOKUP(2,1/((Interaction_Log!$B$2:$B$3000=$A280)*(Interaction_Log!$G$2:$G$3000&lt;&gt;"")),Interaction_Log!$G$2:$G$3000),"")</f>
        <v/>
      </c>
      <c r="F280" s="5" t="str">
        <f aca="false">IFERROR(INDEX(Lists!$C$2:$C$12,MATCH($C280,Lists!$A$2:$A$12,0)),"")</f>
        <v>Low</v>
      </c>
      <c r="G280" s="5" t="str">
        <f aca="false">IFERROR(INDEX(Lists!$D$2:$D$12,MATCH($C280,Lists!$A$2:$A$12,0)),"")</f>
        <v>Retry</v>
      </c>
      <c r="H280" s="5" t="str">
        <f aca="false">IF(OR($D280="Converted",$D280="Closed"),"—",IF($E280="","Not Scheduled",IF($E280&lt;CRM_Dashboard!$B$3,"Overdue",IF($E280=CRM_Dashboard!$B$3,"Due Today","Upcoming"))))</f>
        <v>Not Scheduled</v>
      </c>
      <c r="I280" s="5" t="n">
        <f aca="false">COUNTIF(Interaction_Log!$B$2:$B$3000,$A280)</f>
        <v>1</v>
      </c>
      <c r="J280" s="5" t="str">
        <f aca="false">IF(COUNTIFS(Interaction_Log!$B$2:$B$3000,$A280,Interaction_Log!$E$2:$E$3000,"Details Sent")&gt;0,"Yes","No")</f>
        <v>No</v>
      </c>
      <c r="K280" s="2" t="str">
        <f aca="false">IF(AND(COUNTIFS(Interaction_Log!$B$2:$B$3000,$A280,Interaction_Log!$E$2:$E$3000,"Paid")&gt;0,$C280&lt;&gt;"Paid"),"Paid then re-opened","")</f>
        <v/>
      </c>
    </row>
    <row r="281" customFormat="false" ht="15" hidden="false" customHeight="false" outlineLevel="0" collapsed="false">
      <c r="A281" s="2" t="s">
        <v>1078</v>
      </c>
      <c r="B281" s="2" t="str">
        <f aca="false">IFERROR(INDEX(Lead_Master!$B$2:$B$1000,MATCH($A281,Lead_Master!$A$2:$A$1000,0)),"")</f>
        <v>Kartik Rathore</v>
      </c>
      <c r="C281" s="2" t="str">
        <f aca="false">IFERROR(LOOKUP(2,1/(Interaction_Log!$B$2:$B$3000=$A281),Interaction_Log!$E$2:$E$3000),"No contact")</f>
        <v>Follow Up</v>
      </c>
      <c r="D281" s="5" t="str">
        <f aca="false">IFERROR(INDEX(Lists!$B$2:$B$12,MATCH($C281,Lists!$A$2:$A$12,0)),"Unmapped")</f>
        <v>Follow Up</v>
      </c>
      <c r="E281" s="4" t="n">
        <f aca="false">IFERROR(LOOKUP(2,1/((Interaction_Log!$B$2:$B$3000=$A281)*(Interaction_Log!$G$2:$G$3000&lt;&gt;"")),Interaction_Log!$G$2:$G$3000),"")</f>
        <v>46223</v>
      </c>
      <c r="F281" s="5" t="str">
        <f aca="false">IFERROR(INDEX(Lists!$C$2:$C$12,MATCH($C281,Lists!$A$2:$A$12,0)),"")</f>
        <v>High</v>
      </c>
      <c r="G281" s="5" t="str">
        <f aca="false">IFERROR(INDEX(Lists!$D$2:$D$12,MATCH($C281,Lists!$A$2:$A$12,0)),"")</f>
        <v>Call</v>
      </c>
      <c r="H281" s="5" t="str">
        <f aca="false">IF(OR($D281="Converted",$D281="Closed"),"—",IF($E281="","Not Scheduled",IF($E281&lt;CRM_Dashboard!$B$3,"Overdue",IF($E281=CRM_Dashboard!$B$3,"Due Today","Upcoming"))))</f>
        <v>Overdue</v>
      </c>
      <c r="I281" s="5" t="n">
        <f aca="false">COUNTIF(Interaction_Log!$B$2:$B$3000,$A281)</f>
        <v>4</v>
      </c>
      <c r="J281" s="5" t="str">
        <f aca="false">IF(COUNTIFS(Interaction_Log!$B$2:$B$3000,$A281,Interaction_Log!$E$2:$E$3000,"Details Sent")&gt;0,"Yes","No")</f>
        <v>No</v>
      </c>
      <c r="K281" s="2" t="str">
        <f aca="false">IF(AND(COUNTIFS(Interaction_Log!$B$2:$B$3000,$A281,Interaction_Log!$E$2:$E$3000,"Paid")&gt;0,$C281&lt;&gt;"Paid"),"Paid then re-opened","")</f>
        <v/>
      </c>
    </row>
    <row r="282" customFormat="false" ht="15" hidden="false" customHeight="false" outlineLevel="0" collapsed="false">
      <c r="A282" s="2" t="s">
        <v>1082</v>
      </c>
      <c r="B282" s="2" t="str">
        <f aca="false">IFERROR(INDEX(Lead_Master!$B$2:$B$1000,MATCH($A282,Lead_Master!$A$2:$A$1000,0)),"")</f>
        <v>Aditya Rathore</v>
      </c>
      <c r="C282" s="2" t="str">
        <f aca="false">IFERROR(LOOKUP(2,1/(Interaction_Log!$B$2:$B$3000=$A282),Interaction_Log!$E$2:$E$3000),"No contact")</f>
        <v>Call Back Later</v>
      </c>
      <c r="D282" s="5" t="str">
        <f aca="false">IFERROR(INDEX(Lists!$B$2:$B$12,MATCH($C282,Lists!$A$2:$A$12,0)),"Unmapped")</f>
        <v>Pending</v>
      </c>
      <c r="E282" s="4" t="n">
        <f aca="false">IFERROR(LOOKUP(2,1/((Interaction_Log!$B$2:$B$3000=$A282)*(Interaction_Log!$G$2:$G$3000&lt;&gt;"")),Interaction_Log!$G$2:$G$3000),"")</f>
        <v>46231</v>
      </c>
      <c r="F282" s="5" t="str">
        <f aca="false">IFERROR(INDEX(Lists!$C$2:$C$12,MATCH($C282,Lists!$A$2:$A$12,0)),"")</f>
        <v>Medium</v>
      </c>
      <c r="G282" s="5" t="str">
        <f aca="false">IFERROR(INDEX(Lists!$D$2:$D$12,MATCH($C282,Lists!$A$2:$A$12,0)),"")</f>
        <v>Call</v>
      </c>
      <c r="H282" s="5" t="str">
        <f aca="false">IF(OR($D282="Converted",$D282="Closed"),"—",IF($E282="","Not Scheduled",IF($E282&lt;CRM_Dashboard!$B$3,"Overdue",IF($E282=CRM_Dashboard!$B$3,"Due Today","Upcoming"))))</f>
        <v>Overdue</v>
      </c>
      <c r="I282" s="5" t="n">
        <f aca="false">COUNTIF(Interaction_Log!$B$2:$B$3000,$A282)</f>
        <v>2</v>
      </c>
      <c r="J282" s="5" t="str">
        <f aca="false">IF(COUNTIFS(Interaction_Log!$B$2:$B$3000,$A282,Interaction_Log!$E$2:$E$3000,"Details Sent")&gt;0,"Yes","No")</f>
        <v>No</v>
      </c>
      <c r="K282" s="2" t="str">
        <f aca="false">IF(AND(COUNTIFS(Interaction_Log!$B$2:$B$3000,$A282,Interaction_Log!$E$2:$E$3000,"Paid")&gt;0,$C282&lt;&gt;"Paid"),"Paid then re-opened","")</f>
        <v/>
      </c>
    </row>
    <row r="283" customFormat="false" ht="15" hidden="false" customHeight="false" outlineLevel="0" collapsed="false">
      <c r="A283" s="2" t="s">
        <v>1085</v>
      </c>
      <c r="B283" s="2" t="str">
        <f aca="false">IFERROR(INDEX(Lead_Master!$B$2:$B$1000,MATCH($A283,Lead_Master!$A$2:$A$1000,0)),"")</f>
        <v>Ayush Jain</v>
      </c>
      <c r="C283" s="2" t="str">
        <f aca="false">IFERROR(LOOKUP(2,1/(Interaction_Log!$B$2:$B$3000=$A283),Interaction_Log!$E$2:$E$3000),"No contact")</f>
        <v>DNP</v>
      </c>
      <c r="D283" s="5" t="str">
        <f aca="false">IFERROR(INDEX(Lists!$B$2:$B$12,MATCH($C283,Lists!$A$2:$A$12,0)),"Unmapped")</f>
        <v>Pending</v>
      </c>
      <c r="E283" s="4" t="str">
        <f aca="false">IFERROR(LOOKUP(2,1/((Interaction_Log!$B$2:$B$3000=$A283)*(Interaction_Log!$G$2:$G$3000&lt;&gt;"")),Interaction_Log!$G$2:$G$3000),"")</f>
        <v/>
      </c>
      <c r="F283" s="5" t="str">
        <f aca="false">IFERROR(INDEX(Lists!$C$2:$C$12,MATCH($C283,Lists!$A$2:$A$12,0)),"")</f>
        <v>Low</v>
      </c>
      <c r="G283" s="5" t="str">
        <f aca="false">IFERROR(INDEX(Lists!$D$2:$D$12,MATCH($C283,Lists!$A$2:$A$12,0)),"")</f>
        <v>Retry</v>
      </c>
      <c r="H283" s="5" t="str">
        <f aca="false">IF(OR($D283="Converted",$D283="Closed"),"—",IF($E283="","Not Scheduled",IF($E283&lt;CRM_Dashboard!$B$3,"Overdue",IF($E283=CRM_Dashboard!$B$3,"Due Today","Upcoming"))))</f>
        <v>Not Scheduled</v>
      </c>
      <c r="I283" s="5" t="n">
        <f aca="false">COUNTIF(Interaction_Log!$B$2:$B$3000,$A283)</f>
        <v>3</v>
      </c>
      <c r="J283" s="5" t="str">
        <f aca="false">IF(COUNTIFS(Interaction_Log!$B$2:$B$3000,$A283,Interaction_Log!$E$2:$E$3000,"Details Sent")&gt;0,"Yes","No")</f>
        <v>No</v>
      </c>
      <c r="K283" s="2" t="str">
        <f aca="false">IF(AND(COUNTIFS(Interaction_Log!$B$2:$B$3000,$A283,Interaction_Log!$E$2:$E$3000,"Paid")&gt;0,$C283&lt;&gt;"Paid"),"Paid then re-opened","")</f>
        <v/>
      </c>
    </row>
    <row r="284" customFormat="false" ht="15" hidden="false" customHeight="false" outlineLevel="0" collapsed="false">
      <c r="A284" s="2" t="s">
        <v>1089</v>
      </c>
      <c r="B284" s="2" t="str">
        <f aca="false">IFERROR(INDEX(Lead_Master!$B$2:$B$1000,MATCH($A284,Lead_Master!$A$2:$A$1000,0)),"")</f>
        <v>Aman Mehta</v>
      </c>
      <c r="C284" s="2" t="str">
        <f aca="false">IFERROR(LOOKUP(2,1/(Interaction_Log!$B$2:$B$3000=$A284),Interaction_Log!$E$2:$E$3000),"No contact")</f>
        <v>DNP</v>
      </c>
      <c r="D284" s="5" t="str">
        <f aca="false">IFERROR(INDEX(Lists!$B$2:$B$12,MATCH($C284,Lists!$A$2:$A$12,0)),"Unmapped")</f>
        <v>Pending</v>
      </c>
      <c r="E284" s="4" t="str">
        <f aca="false">IFERROR(LOOKUP(2,1/((Interaction_Log!$B$2:$B$3000=$A284)*(Interaction_Log!$G$2:$G$3000&lt;&gt;"")),Interaction_Log!$G$2:$G$3000),"")</f>
        <v/>
      </c>
      <c r="F284" s="5" t="str">
        <f aca="false">IFERROR(INDEX(Lists!$C$2:$C$12,MATCH($C284,Lists!$A$2:$A$12,0)),"")</f>
        <v>Low</v>
      </c>
      <c r="G284" s="5" t="str">
        <f aca="false">IFERROR(INDEX(Lists!$D$2:$D$12,MATCH($C284,Lists!$A$2:$A$12,0)),"")</f>
        <v>Retry</v>
      </c>
      <c r="H284" s="5" t="str">
        <f aca="false">IF(OR($D284="Converted",$D284="Closed"),"—",IF($E284="","Not Scheduled",IF($E284&lt;CRM_Dashboard!$B$3,"Overdue",IF($E284=CRM_Dashboard!$B$3,"Due Today","Upcoming"))))</f>
        <v>Not Scheduled</v>
      </c>
      <c r="I284" s="5" t="n">
        <f aca="false">COUNTIF(Interaction_Log!$B$2:$B$3000,$A284)</f>
        <v>4</v>
      </c>
      <c r="J284" s="5" t="str">
        <f aca="false">IF(COUNTIFS(Interaction_Log!$B$2:$B$3000,$A284,Interaction_Log!$E$2:$E$3000,"Details Sent")&gt;0,"Yes","No")</f>
        <v>Yes</v>
      </c>
      <c r="K284" s="2" t="str">
        <f aca="false">IF(AND(COUNTIFS(Interaction_Log!$B$2:$B$3000,$A284,Interaction_Log!$E$2:$E$3000,"Paid")&gt;0,$C284&lt;&gt;"Paid"),"Paid then re-opened","")</f>
        <v/>
      </c>
    </row>
    <row r="285" customFormat="false" ht="15" hidden="false" customHeight="false" outlineLevel="0" collapsed="false">
      <c r="A285" s="2" t="s">
        <v>1093</v>
      </c>
      <c r="B285" s="2" t="str">
        <f aca="false">IFERROR(INDEX(Lead_Master!$B$2:$B$1000,MATCH($A285,Lead_Master!$A$2:$A$1000,0)),"")</f>
        <v>Shreya Agarwal</v>
      </c>
      <c r="C285" s="2" t="str">
        <f aca="false">IFERROR(LOOKUP(2,1/(Interaction_Log!$B$2:$B$3000=$A285),Interaction_Log!$E$2:$E$3000),"No contact")</f>
        <v>Call Back Later</v>
      </c>
      <c r="D285" s="5" t="str">
        <f aca="false">IFERROR(INDEX(Lists!$B$2:$B$12,MATCH($C285,Lists!$A$2:$A$12,0)),"Unmapped")</f>
        <v>Pending</v>
      </c>
      <c r="E285" s="4" t="n">
        <f aca="false">IFERROR(LOOKUP(2,1/((Interaction_Log!$B$2:$B$3000=$A285)*(Interaction_Log!$G$2:$G$3000&lt;&gt;"")),Interaction_Log!$G$2:$G$3000),"")</f>
        <v>46242</v>
      </c>
      <c r="F285" s="5" t="str">
        <f aca="false">IFERROR(INDEX(Lists!$C$2:$C$12,MATCH($C285,Lists!$A$2:$A$12,0)),"")</f>
        <v>Medium</v>
      </c>
      <c r="G285" s="5" t="str">
        <f aca="false">IFERROR(INDEX(Lists!$D$2:$D$12,MATCH($C285,Lists!$A$2:$A$12,0)),"")</f>
        <v>Call</v>
      </c>
      <c r="H285" s="5" t="str">
        <f aca="false">IF(OR($D285="Converted",$D285="Closed"),"—",IF($E285="","Not Scheduled",IF($E285&lt;CRM_Dashboard!$B$3,"Overdue",IF($E285=CRM_Dashboard!$B$3,"Due Today","Upcoming"))))</f>
        <v>Overdue</v>
      </c>
      <c r="I285" s="5" t="n">
        <f aca="false">COUNTIF(Interaction_Log!$B$2:$B$3000,$A285)</f>
        <v>2</v>
      </c>
      <c r="J285" s="5" t="str">
        <f aca="false">IF(COUNTIFS(Interaction_Log!$B$2:$B$3000,$A285,Interaction_Log!$E$2:$E$3000,"Details Sent")&gt;0,"Yes","No")</f>
        <v>No</v>
      </c>
      <c r="K285" s="2" t="str">
        <f aca="false">IF(AND(COUNTIFS(Interaction_Log!$B$2:$B$3000,$A285,Interaction_Log!$E$2:$E$3000,"Paid")&gt;0,$C285&lt;&gt;"Paid"),"Paid then re-opened","")</f>
        <v/>
      </c>
    </row>
    <row r="286" customFormat="false" ht="15" hidden="false" customHeight="false" outlineLevel="0" collapsed="false">
      <c r="A286" s="2" t="s">
        <v>1096</v>
      </c>
      <c r="B286" s="2" t="str">
        <f aca="false">IFERROR(INDEX(Lead_Master!$B$2:$B$1000,MATCH($A286,Lead_Master!$A$2:$A$1000,0)),"")</f>
        <v>Rohan Mishra</v>
      </c>
      <c r="C286" s="2" t="str">
        <f aca="false">IFERROR(LOOKUP(2,1/(Interaction_Log!$B$2:$B$3000=$A286),Interaction_Log!$E$2:$E$3000),"No contact")</f>
        <v>DNP</v>
      </c>
      <c r="D286" s="5" t="str">
        <f aca="false">IFERROR(INDEX(Lists!$B$2:$B$12,MATCH($C286,Lists!$A$2:$A$12,0)),"Unmapped")</f>
        <v>Pending</v>
      </c>
      <c r="E286" s="4" t="str">
        <f aca="false">IFERROR(LOOKUP(2,1/((Interaction_Log!$B$2:$B$3000=$A286)*(Interaction_Log!$G$2:$G$3000&lt;&gt;"")),Interaction_Log!$G$2:$G$3000),"")</f>
        <v/>
      </c>
      <c r="F286" s="5" t="str">
        <f aca="false">IFERROR(INDEX(Lists!$C$2:$C$12,MATCH($C286,Lists!$A$2:$A$12,0)),"")</f>
        <v>Low</v>
      </c>
      <c r="G286" s="5" t="str">
        <f aca="false">IFERROR(INDEX(Lists!$D$2:$D$12,MATCH($C286,Lists!$A$2:$A$12,0)),"")</f>
        <v>Retry</v>
      </c>
      <c r="H286" s="5" t="str">
        <f aca="false">IF(OR($D286="Converted",$D286="Closed"),"—",IF($E286="","Not Scheduled",IF($E286&lt;CRM_Dashboard!$B$3,"Overdue",IF($E286=CRM_Dashboard!$B$3,"Due Today","Upcoming"))))</f>
        <v>Not Scheduled</v>
      </c>
      <c r="I286" s="5" t="n">
        <f aca="false">COUNTIF(Interaction_Log!$B$2:$B$3000,$A286)</f>
        <v>3</v>
      </c>
      <c r="J286" s="5" t="str">
        <f aca="false">IF(COUNTIFS(Interaction_Log!$B$2:$B$3000,$A286,Interaction_Log!$E$2:$E$3000,"Details Sent")&gt;0,"Yes","No")</f>
        <v>Yes</v>
      </c>
      <c r="K286" s="2" t="str">
        <f aca="false">IF(AND(COUNTIFS(Interaction_Log!$B$2:$B$3000,$A286,Interaction_Log!$E$2:$E$3000,"Paid")&gt;0,$C286&lt;&gt;"Paid"),"Paid then re-opened","")</f>
        <v/>
      </c>
    </row>
    <row r="287" customFormat="false" ht="15" hidden="false" customHeight="false" outlineLevel="0" collapsed="false">
      <c r="A287" s="2" t="s">
        <v>1100</v>
      </c>
      <c r="B287" s="2" t="str">
        <f aca="false">IFERROR(INDEX(Lead_Master!$B$2:$B$1000,MATCH($A287,Lead_Master!$A$2:$A$1000,0)),"")</f>
        <v>Karan Gupta</v>
      </c>
      <c r="C287" s="2" t="str">
        <f aca="false">IFERROR(LOOKUP(2,1/(Interaction_Log!$B$2:$B$3000=$A287),Interaction_Log!$E$2:$E$3000),"No contact")</f>
        <v>Follow Up</v>
      </c>
      <c r="D287" s="5" t="str">
        <f aca="false">IFERROR(INDEX(Lists!$B$2:$B$12,MATCH($C287,Lists!$A$2:$A$12,0)),"Unmapped")</f>
        <v>Follow Up</v>
      </c>
      <c r="E287" s="4" t="n">
        <f aca="false">IFERROR(LOOKUP(2,1/((Interaction_Log!$B$2:$B$3000=$A287)*(Interaction_Log!$G$2:$G$3000&lt;&gt;"")),Interaction_Log!$G$2:$G$3000),"")</f>
        <v>46226</v>
      </c>
      <c r="F287" s="5" t="str">
        <f aca="false">IFERROR(INDEX(Lists!$C$2:$C$12,MATCH($C287,Lists!$A$2:$A$12,0)),"")</f>
        <v>High</v>
      </c>
      <c r="G287" s="5" t="str">
        <f aca="false">IFERROR(INDEX(Lists!$D$2:$D$12,MATCH($C287,Lists!$A$2:$A$12,0)),"")</f>
        <v>Call</v>
      </c>
      <c r="H287" s="5" t="str">
        <f aca="false">IF(OR($D287="Converted",$D287="Closed"),"—",IF($E287="","Not Scheduled",IF($E287&lt;CRM_Dashboard!$B$3,"Overdue",IF($E287=CRM_Dashboard!$B$3,"Due Today","Upcoming"))))</f>
        <v>Overdue</v>
      </c>
      <c r="I287" s="5" t="n">
        <f aca="false">COUNTIF(Interaction_Log!$B$2:$B$3000,$A287)</f>
        <v>2</v>
      </c>
      <c r="J287" s="5" t="str">
        <f aca="false">IF(COUNTIFS(Interaction_Log!$B$2:$B$3000,$A287,Interaction_Log!$E$2:$E$3000,"Details Sent")&gt;0,"Yes","No")</f>
        <v>No</v>
      </c>
      <c r="K287" s="2" t="str">
        <f aca="false">IF(AND(COUNTIFS(Interaction_Log!$B$2:$B$3000,$A287,Interaction_Log!$E$2:$E$3000,"Paid")&gt;0,$C287&lt;&gt;"Paid"),"Paid then re-opened","")</f>
        <v/>
      </c>
    </row>
    <row r="288" customFormat="false" ht="15" hidden="false" customHeight="false" outlineLevel="0" collapsed="false">
      <c r="A288" s="2" t="s">
        <v>1103</v>
      </c>
      <c r="B288" s="2" t="str">
        <f aca="false">IFERROR(INDEX(Lead_Master!$B$2:$B$1000,MATCH($A288,Lead_Master!$A$2:$A$1000,0)),"")</f>
        <v>Tanya Pandey</v>
      </c>
      <c r="C288" s="2" t="str">
        <f aca="false">IFERROR(LOOKUP(2,1/(Interaction_Log!$B$2:$B$3000=$A288),Interaction_Log!$E$2:$E$3000),"No contact")</f>
        <v>Paid</v>
      </c>
      <c r="D288" s="5" t="str">
        <f aca="false">IFERROR(INDEX(Lists!$B$2:$B$12,MATCH($C288,Lists!$A$2:$A$12,0)),"Unmapped")</f>
        <v>Converted</v>
      </c>
      <c r="E288" s="4" t="str">
        <f aca="false">IFERROR(LOOKUP(2,1/((Interaction_Log!$B$2:$B$3000=$A288)*(Interaction_Log!$G$2:$G$3000&lt;&gt;"")),Interaction_Log!$G$2:$G$3000),"")</f>
        <v/>
      </c>
      <c r="F288" s="5" t="str">
        <f aca="false">IFERROR(INDEX(Lists!$C$2:$C$12,MATCH($C288,Lists!$A$2:$A$12,0)),"")</f>
        <v>—</v>
      </c>
      <c r="G288" s="5" t="str">
        <f aca="false">IFERROR(INDEX(Lists!$D$2:$D$12,MATCH($C288,Lists!$A$2:$A$12,0)),"")</f>
        <v>Onboard</v>
      </c>
      <c r="H288" s="5" t="str">
        <f aca="false">IF(OR($D288="Converted",$D288="Closed"),"—",IF($E288="","Not Scheduled",IF($E288&lt;CRM_Dashboard!$B$3,"Overdue",IF($E288=CRM_Dashboard!$B$3,"Due Today","Upcoming"))))</f>
        <v>—</v>
      </c>
      <c r="I288" s="5" t="n">
        <f aca="false">COUNTIF(Interaction_Log!$B$2:$B$3000,$A288)</f>
        <v>1</v>
      </c>
      <c r="J288" s="5" t="str">
        <f aca="false">IF(COUNTIFS(Interaction_Log!$B$2:$B$3000,$A288,Interaction_Log!$E$2:$E$3000,"Details Sent")&gt;0,"Yes","No")</f>
        <v>No</v>
      </c>
      <c r="K288" s="2" t="str">
        <f aca="false">IF(AND(COUNTIFS(Interaction_Log!$B$2:$B$3000,$A288,Interaction_Log!$E$2:$E$3000,"Paid")&gt;0,$C288&lt;&gt;"Paid"),"Paid then re-opened","")</f>
        <v/>
      </c>
    </row>
    <row r="289" customFormat="false" ht="15" hidden="false" customHeight="false" outlineLevel="0" collapsed="false">
      <c r="A289" s="2" t="s">
        <v>1107</v>
      </c>
      <c r="B289" s="2" t="str">
        <f aca="false">IFERROR(INDEX(Lead_Master!$B$2:$B$1000,MATCH($A289,Lead_Master!$A$2:$A$1000,0)),"")</f>
        <v>Pooja Mishra</v>
      </c>
      <c r="C289" s="2" t="str">
        <f aca="false">IFERROR(LOOKUP(2,1/(Interaction_Log!$B$2:$B$3000=$A289),Interaction_Log!$E$2:$E$3000),"No contact")</f>
        <v>Details Sent</v>
      </c>
      <c r="D289" s="5" t="str">
        <f aca="false">IFERROR(INDEX(Lists!$B$2:$B$12,MATCH($C289,Lists!$A$2:$A$12,0)),"Unmapped")</f>
        <v>Follow Up</v>
      </c>
      <c r="E289" s="4" t="n">
        <f aca="false">IFERROR(LOOKUP(2,1/((Interaction_Log!$B$2:$B$3000=$A289)*(Interaction_Log!$G$2:$G$3000&lt;&gt;"")),Interaction_Log!$G$2:$G$3000),"")</f>
        <v>46255</v>
      </c>
      <c r="F289" s="5" t="str">
        <f aca="false">IFERROR(INDEX(Lists!$C$2:$C$12,MATCH($C289,Lists!$A$2:$A$12,0)),"")</f>
        <v>High</v>
      </c>
      <c r="G289" s="5" t="str">
        <f aca="false">IFERROR(INDEX(Lists!$D$2:$D$12,MATCH($C289,Lists!$A$2:$A$12,0)),"")</f>
        <v>Call</v>
      </c>
      <c r="H289" s="5" t="str">
        <f aca="false">IF(OR($D289="Converted",$D289="Closed"),"—",IF($E289="","Not Scheduled",IF($E289&lt;CRM_Dashboard!$B$3,"Overdue",IF($E289=CRM_Dashboard!$B$3,"Due Today","Upcoming"))))</f>
        <v>Overdue</v>
      </c>
      <c r="I289" s="5" t="n">
        <f aca="false">COUNTIF(Interaction_Log!$B$2:$B$3000,$A289)</f>
        <v>1</v>
      </c>
      <c r="J289" s="5" t="str">
        <f aca="false">IF(COUNTIFS(Interaction_Log!$B$2:$B$3000,$A289,Interaction_Log!$E$2:$E$3000,"Details Sent")&gt;0,"Yes","No")</f>
        <v>Yes</v>
      </c>
      <c r="K289" s="2" t="str">
        <f aca="false">IF(AND(COUNTIFS(Interaction_Log!$B$2:$B$3000,$A289,Interaction_Log!$E$2:$E$3000,"Paid")&gt;0,$C289&lt;&gt;"Paid"),"Paid then re-opened","")</f>
        <v/>
      </c>
    </row>
    <row r="290" customFormat="false" ht="15" hidden="false" customHeight="false" outlineLevel="0" collapsed="false">
      <c r="A290" s="2" t="s">
        <v>1111</v>
      </c>
      <c r="B290" s="2" t="str">
        <f aca="false">IFERROR(INDEX(Lead_Master!$B$2:$B$1000,MATCH($A290,Lead_Master!$A$2:$A$1000,0)),"")</f>
        <v>Vivek Pandey</v>
      </c>
      <c r="C290" s="2" t="str">
        <f aca="false">IFERROR(LOOKUP(2,1/(Interaction_Log!$B$2:$B$3000=$A290),Interaction_Log!$E$2:$E$3000),"No contact")</f>
        <v>Wrong Number</v>
      </c>
      <c r="D290" s="5" t="str">
        <f aca="false">IFERROR(INDEX(Lists!$B$2:$B$12,MATCH($C290,Lists!$A$2:$A$12,0)),"Unmapped")</f>
        <v>Closed</v>
      </c>
      <c r="E290" s="4" t="str">
        <f aca="false">IFERROR(LOOKUP(2,1/((Interaction_Log!$B$2:$B$3000=$A290)*(Interaction_Log!$G$2:$G$3000&lt;&gt;"")),Interaction_Log!$G$2:$G$3000),"")</f>
        <v/>
      </c>
      <c r="F290" s="5" t="str">
        <f aca="false">IFERROR(INDEX(Lists!$C$2:$C$12,MATCH($C290,Lists!$A$2:$A$12,0)),"")</f>
        <v>—</v>
      </c>
      <c r="G290" s="5" t="str">
        <f aca="false">IFERROR(INDEX(Lists!$D$2:$D$12,MATCH($C290,Lists!$A$2:$A$12,0)),"")</f>
        <v>Verify number</v>
      </c>
      <c r="H290" s="5" t="str">
        <f aca="false">IF(OR($D290="Converted",$D290="Closed"),"—",IF($E290="","Not Scheduled",IF($E290&lt;CRM_Dashboard!$B$3,"Overdue",IF($E290=CRM_Dashboard!$B$3,"Due Today","Upcoming"))))</f>
        <v>—</v>
      </c>
      <c r="I290" s="5" t="n">
        <f aca="false">COUNTIF(Interaction_Log!$B$2:$B$3000,$A290)</f>
        <v>2</v>
      </c>
      <c r="J290" s="5" t="str">
        <f aca="false">IF(COUNTIFS(Interaction_Log!$B$2:$B$3000,$A290,Interaction_Log!$E$2:$E$3000,"Details Sent")&gt;0,"Yes","No")</f>
        <v>Yes</v>
      </c>
      <c r="K290" s="2" t="str">
        <f aca="false">IF(AND(COUNTIFS(Interaction_Log!$B$2:$B$3000,$A290,Interaction_Log!$E$2:$E$3000,"Paid")&gt;0,$C290&lt;&gt;"Paid"),"Paid then re-opened","")</f>
        <v/>
      </c>
    </row>
    <row r="291" customFormat="false" ht="15" hidden="false" customHeight="false" outlineLevel="0" collapsed="false">
      <c r="A291" s="2" t="s">
        <v>1114</v>
      </c>
      <c r="B291" s="2" t="str">
        <f aca="false">IFERROR(INDEX(Lead_Master!$B$2:$B$1000,MATCH($A291,Lead_Master!$A$2:$A$1000,0)),"")</f>
        <v>Riya Yadav</v>
      </c>
      <c r="C291" s="2" t="str">
        <f aca="false">IFERROR(LOOKUP(2,1/(Interaction_Log!$B$2:$B$3000=$A291),Interaction_Log!$E$2:$E$3000),"No contact")</f>
        <v>Call Back Later</v>
      </c>
      <c r="D291" s="5" t="str">
        <f aca="false">IFERROR(INDEX(Lists!$B$2:$B$12,MATCH($C291,Lists!$A$2:$A$12,0)),"Unmapped")</f>
        <v>Pending</v>
      </c>
      <c r="E291" s="4" t="n">
        <f aca="false">IFERROR(LOOKUP(2,1/((Interaction_Log!$B$2:$B$3000=$A291)*(Interaction_Log!$G$2:$G$3000&lt;&gt;"")),Interaction_Log!$G$2:$G$3000),"")</f>
        <v>46232</v>
      </c>
      <c r="F291" s="5" t="str">
        <f aca="false">IFERROR(INDEX(Lists!$C$2:$C$12,MATCH($C291,Lists!$A$2:$A$12,0)),"")</f>
        <v>Medium</v>
      </c>
      <c r="G291" s="5" t="str">
        <f aca="false">IFERROR(INDEX(Lists!$D$2:$D$12,MATCH($C291,Lists!$A$2:$A$12,0)),"")</f>
        <v>Call</v>
      </c>
      <c r="H291" s="5" t="str">
        <f aca="false">IF(OR($D291="Converted",$D291="Closed"),"—",IF($E291="","Not Scheduled",IF($E291&lt;CRM_Dashboard!$B$3,"Overdue",IF($E291=CRM_Dashboard!$B$3,"Due Today","Upcoming"))))</f>
        <v>Overdue</v>
      </c>
      <c r="I291" s="5" t="n">
        <f aca="false">COUNTIF(Interaction_Log!$B$2:$B$3000,$A291)</f>
        <v>3</v>
      </c>
      <c r="J291" s="5" t="str">
        <f aca="false">IF(COUNTIFS(Interaction_Log!$B$2:$B$3000,$A291,Interaction_Log!$E$2:$E$3000,"Details Sent")&gt;0,"Yes","No")</f>
        <v>No</v>
      </c>
      <c r="K291" s="2" t="str">
        <f aca="false">IF(AND(COUNTIFS(Interaction_Log!$B$2:$B$3000,$A291,Interaction_Log!$E$2:$E$3000,"Paid")&gt;0,$C291&lt;&gt;"Paid"),"Paid then re-opened","")</f>
        <v/>
      </c>
    </row>
    <row r="292" customFormat="false" ht="15" hidden="false" customHeight="false" outlineLevel="0" collapsed="false">
      <c r="A292" s="2" t="s">
        <v>1118</v>
      </c>
      <c r="B292" s="2" t="str">
        <f aca="false">IFERROR(INDEX(Lead_Master!$B$2:$B$1000,MATCH($A292,Lead_Master!$A$2:$A$1000,0)),"")</f>
        <v>Karan Sharma</v>
      </c>
      <c r="C292" s="2" t="str">
        <f aca="false">IFERROR(LOOKUP(2,1/(Interaction_Log!$B$2:$B$3000=$A292),Interaction_Log!$E$2:$E$3000),"No contact")</f>
        <v>Wrong Number</v>
      </c>
      <c r="D292" s="5" t="str">
        <f aca="false">IFERROR(INDEX(Lists!$B$2:$B$12,MATCH($C292,Lists!$A$2:$A$12,0)),"Unmapped")</f>
        <v>Closed</v>
      </c>
      <c r="E292" s="4" t="str">
        <f aca="false">IFERROR(LOOKUP(2,1/((Interaction_Log!$B$2:$B$3000=$A292)*(Interaction_Log!$G$2:$G$3000&lt;&gt;"")),Interaction_Log!$G$2:$G$3000),"")</f>
        <v/>
      </c>
      <c r="F292" s="5" t="str">
        <f aca="false">IFERROR(INDEX(Lists!$C$2:$C$12,MATCH($C292,Lists!$A$2:$A$12,0)),"")</f>
        <v>—</v>
      </c>
      <c r="G292" s="5" t="str">
        <f aca="false">IFERROR(INDEX(Lists!$D$2:$D$12,MATCH($C292,Lists!$A$2:$A$12,0)),"")</f>
        <v>Verify number</v>
      </c>
      <c r="H292" s="5" t="str">
        <f aca="false">IF(OR($D292="Converted",$D292="Closed"),"—",IF($E292="","Not Scheduled",IF($E292&lt;CRM_Dashboard!$B$3,"Overdue",IF($E292=CRM_Dashboard!$B$3,"Due Today","Upcoming"))))</f>
        <v>—</v>
      </c>
      <c r="I292" s="5" t="n">
        <f aca="false">COUNTIF(Interaction_Log!$B$2:$B$3000,$A292)</f>
        <v>1</v>
      </c>
      <c r="J292" s="5" t="str">
        <f aca="false">IF(COUNTIFS(Interaction_Log!$B$2:$B$3000,$A292,Interaction_Log!$E$2:$E$3000,"Details Sent")&gt;0,"Yes","No")</f>
        <v>No</v>
      </c>
      <c r="K292" s="2" t="str">
        <f aca="false">IF(AND(COUNTIFS(Interaction_Log!$B$2:$B$3000,$A292,Interaction_Log!$E$2:$E$3000,"Paid")&gt;0,$C292&lt;&gt;"Paid"),"Paid then re-opened","")</f>
        <v/>
      </c>
    </row>
    <row r="293" customFormat="false" ht="15" hidden="false" customHeight="false" outlineLevel="0" collapsed="false">
      <c r="A293" s="2" t="s">
        <v>1122</v>
      </c>
      <c r="B293" s="2" t="str">
        <f aca="false">IFERROR(INDEX(Lead_Master!$B$2:$B$1000,MATCH($A293,Lead_Master!$A$2:$A$1000,0)),"")</f>
        <v>Yash Agarwal</v>
      </c>
      <c r="C293" s="2" t="str">
        <f aca="false">IFERROR(LOOKUP(2,1/(Interaction_Log!$B$2:$B$3000=$A293),Interaction_Log!$E$2:$E$3000),"No contact")</f>
        <v>Call Cut</v>
      </c>
      <c r="D293" s="5" t="str">
        <f aca="false">IFERROR(INDEX(Lists!$B$2:$B$12,MATCH($C293,Lists!$A$2:$A$12,0)),"Unmapped")</f>
        <v>Pending</v>
      </c>
      <c r="E293" s="4" t="str">
        <f aca="false">IFERROR(LOOKUP(2,1/((Interaction_Log!$B$2:$B$3000=$A293)*(Interaction_Log!$G$2:$G$3000&lt;&gt;"")),Interaction_Log!$G$2:$G$3000),"")</f>
        <v/>
      </c>
      <c r="F293" s="5" t="str">
        <f aca="false">IFERROR(INDEX(Lists!$C$2:$C$12,MATCH($C293,Lists!$A$2:$A$12,0)),"")</f>
        <v>Medium</v>
      </c>
      <c r="G293" s="5" t="str">
        <f aca="false">IFERROR(INDEX(Lists!$D$2:$D$12,MATCH($C293,Lists!$A$2:$A$12,0)),"")</f>
        <v>Retry</v>
      </c>
      <c r="H293" s="5" t="str">
        <f aca="false">IF(OR($D293="Converted",$D293="Closed"),"—",IF($E293="","Not Scheduled",IF($E293&lt;CRM_Dashboard!$B$3,"Overdue",IF($E293=CRM_Dashboard!$B$3,"Due Today","Upcoming"))))</f>
        <v>Not Scheduled</v>
      </c>
      <c r="I293" s="5" t="n">
        <f aca="false">COUNTIF(Interaction_Log!$B$2:$B$3000,$A293)</f>
        <v>3</v>
      </c>
      <c r="J293" s="5" t="str">
        <f aca="false">IF(COUNTIFS(Interaction_Log!$B$2:$B$3000,$A293,Interaction_Log!$E$2:$E$3000,"Details Sent")&gt;0,"Yes","No")</f>
        <v>Yes</v>
      </c>
      <c r="K293" s="2" t="str">
        <f aca="false">IF(AND(COUNTIFS(Interaction_Log!$B$2:$B$3000,$A293,Interaction_Log!$E$2:$E$3000,"Paid")&gt;0,$C293&lt;&gt;"Paid"),"Paid then re-opened","")</f>
        <v/>
      </c>
    </row>
    <row r="294" customFormat="false" ht="15" hidden="false" customHeight="false" outlineLevel="0" collapsed="false">
      <c r="A294" s="2" t="s">
        <v>1126</v>
      </c>
      <c r="B294" s="2" t="str">
        <f aca="false">IFERROR(INDEX(Lead_Master!$B$2:$B$1000,MATCH($A294,Lead_Master!$A$2:$A$1000,0)),"")</f>
        <v>Simran Sinha</v>
      </c>
      <c r="C294" s="2" t="str">
        <f aca="false">IFERROR(LOOKUP(2,1/(Interaction_Log!$B$2:$B$3000=$A294),Interaction_Log!$E$2:$E$3000),"No contact")</f>
        <v>Switch Off</v>
      </c>
      <c r="D294" s="5" t="str">
        <f aca="false">IFERROR(INDEX(Lists!$B$2:$B$12,MATCH($C294,Lists!$A$2:$A$12,0)),"Unmapped")</f>
        <v>Pending</v>
      </c>
      <c r="E294" s="4" t="str">
        <f aca="false">IFERROR(LOOKUP(2,1/((Interaction_Log!$B$2:$B$3000=$A294)*(Interaction_Log!$G$2:$G$3000&lt;&gt;"")),Interaction_Log!$G$2:$G$3000),"")</f>
        <v/>
      </c>
      <c r="F294" s="5" t="str">
        <f aca="false">IFERROR(INDEX(Lists!$C$2:$C$12,MATCH($C294,Lists!$A$2:$A$12,0)),"")</f>
        <v>Low</v>
      </c>
      <c r="G294" s="5" t="str">
        <f aca="false">IFERROR(INDEX(Lists!$D$2:$D$12,MATCH($C294,Lists!$A$2:$A$12,0)),"")</f>
        <v>Retry</v>
      </c>
      <c r="H294" s="5" t="str">
        <f aca="false">IF(OR($D294="Converted",$D294="Closed"),"—",IF($E294="","Not Scheduled",IF($E294&lt;CRM_Dashboard!$B$3,"Overdue",IF($E294=CRM_Dashboard!$B$3,"Due Today","Upcoming"))))</f>
        <v>Not Scheduled</v>
      </c>
      <c r="I294" s="5" t="n">
        <f aca="false">COUNTIF(Interaction_Log!$B$2:$B$3000,$A294)</f>
        <v>3</v>
      </c>
      <c r="J294" s="5" t="str">
        <f aca="false">IF(COUNTIFS(Interaction_Log!$B$2:$B$3000,$A294,Interaction_Log!$E$2:$E$3000,"Details Sent")&gt;0,"Yes","No")</f>
        <v>Yes</v>
      </c>
      <c r="K294" s="2" t="str">
        <f aca="false">IF(AND(COUNTIFS(Interaction_Log!$B$2:$B$3000,$A294,Interaction_Log!$E$2:$E$3000,"Paid")&gt;0,$C294&lt;&gt;"Paid"),"Paid then re-opened","")</f>
        <v/>
      </c>
    </row>
    <row r="295" customFormat="false" ht="15" hidden="false" customHeight="false" outlineLevel="0" collapsed="false">
      <c r="A295" s="2" t="s">
        <v>1129</v>
      </c>
      <c r="B295" s="2" t="str">
        <f aca="false">IFERROR(INDEX(Lead_Master!$B$2:$B$1000,MATCH($A295,Lead_Master!$A$2:$A$1000,0)),"")</f>
        <v>Aman Kumar</v>
      </c>
      <c r="C295" s="2" t="str">
        <f aca="false">IFERROR(LOOKUP(2,1/(Interaction_Log!$B$2:$B$3000=$A295),Interaction_Log!$E$2:$E$3000),"No contact")</f>
        <v>Details Sent</v>
      </c>
      <c r="D295" s="5" t="str">
        <f aca="false">IFERROR(INDEX(Lists!$B$2:$B$12,MATCH($C295,Lists!$A$2:$A$12,0)),"Unmapped")</f>
        <v>Follow Up</v>
      </c>
      <c r="E295" s="4" t="n">
        <f aca="false">IFERROR(LOOKUP(2,1/((Interaction_Log!$B$2:$B$3000=$A295)*(Interaction_Log!$G$2:$G$3000&lt;&gt;"")),Interaction_Log!$G$2:$G$3000),"")</f>
        <v>46220</v>
      </c>
      <c r="F295" s="5" t="str">
        <f aca="false">IFERROR(INDEX(Lists!$C$2:$C$12,MATCH($C295,Lists!$A$2:$A$12,0)),"")</f>
        <v>High</v>
      </c>
      <c r="G295" s="5" t="str">
        <f aca="false">IFERROR(INDEX(Lists!$D$2:$D$12,MATCH($C295,Lists!$A$2:$A$12,0)),"")</f>
        <v>Call</v>
      </c>
      <c r="H295" s="5" t="str">
        <f aca="false">IF(OR($D295="Converted",$D295="Closed"),"—",IF($E295="","Not Scheduled",IF($E295&lt;CRM_Dashboard!$B$3,"Overdue",IF($E295=CRM_Dashboard!$B$3,"Due Today","Upcoming"))))</f>
        <v>Overdue</v>
      </c>
      <c r="I295" s="5" t="n">
        <f aca="false">COUNTIF(Interaction_Log!$B$2:$B$3000,$A295)</f>
        <v>3</v>
      </c>
      <c r="J295" s="5" t="str">
        <f aca="false">IF(COUNTIFS(Interaction_Log!$B$2:$B$3000,$A295,Interaction_Log!$E$2:$E$3000,"Details Sent")&gt;0,"Yes","No")</f>
        <v>Yes</v>
      </c>
      <c r="K295" s="2" t="str">
        <f aca="false">IF(AND(COUNTIFS(Interaction_Log!$B$2:$B$3000,$A295,Interaction_Log!$E$2:$E$3000,"Paid")&gt;0,$C295&lt;&gt;"Paid"),"Paid then re-opened","")</f>
        <v/>
      </c>
    </row>
    <row r="296" customFormat="false" ht="15" hidden="false" customHeight="false" outlineLevel="0" collapsed="false">
      <c r="A296" s="2" t="s">
        <v>1133</v>
      </c>
      <c r="B296" s="2" t="str">
        <f aca="false">IFERROR(INDEX(Lead_Master!$B$2:$B$1000,MATCH($A296,Lead_Master!$A$2:$A$1000,0)),"")</f>
        <v>Priya Singh</v>
      </c>
      <c r="C296" s="2" t="str">
        <f aca="false">IFERROR(LOOKUP(2,1/(Interaction_Log!$B$2:$B$3000=$A296),Interaction_Log!$E$2:$E$3000),"No contact")</f>
        <v>Message Sent</v>
      </c>
      <c r="D296" s="5" t="str">
        <f aca="false">IFERROR(INDEX(Lists!$B$2:$B$12,MATCH($C296,Lists!$A$2:$A$12,0)),"Unmapped")</f>
        <v>Follow Up</v>
      </c>
      <c r="E296" s="4" t="n">
        <f aca="false">IFERROR(LOOKUP(2,1/((Interaction_Log!$B$2:$B$3000=$A296)*(Interaction_Log!$G$2:$G$3000&lt;&gt;"")),Interaction_Log!$G$2:$G$3000),"")</f>
        <v>46295</v>
      </c>
      <c r="F296" s="5" t="str">
        <f aca="false">IFERROR(INDEX(Lists!$C$2:$C$12,MATCH($C296,Lists!$A$2:$A$12,0)),"")</f>
        <v>Medium</v>
      </c>
      <c r="G296" s="5" t="str">
        <f aca="false">IFERROR(INDEX(Lists!$D$2:$D$12,MATCH($C296,Lists!$A$2:$A$12,0)),"")</f>
        <v>Call</v>
      </c>
      <c r="H296" s="5" t="str">
        <f aca="false">IF(OR($D296="Converted",$D296="Closed"),"—",IF($E296="","Not Scheduled",IF($E296&lt;CRM_Dashboard!$B$3,"Overdue",IF($E296=CRM_Dashboard!$B$3,"Due Today","Upcoming"))))</f>
        <v>Upcoming</v>
      </c>
      <c r="I296" s="5" t="n">
        <f aca="false">COUNTIF(Interaction_Log!$B$2:$B$3000,$A296)</f>
        <v>1</v>
      </c>
      <c r="J296" s="5" t="str">
        <f aca="false">IF(COUNTIFS(Interaction_Log!$B$2:$B$3000,$A296,Interaction_Log!$E$2:$E$3000,"Details Sent")&gt;0,"Yes","No")</f>
        <v>No</v>
      </c>
      <c r="K296" s="2" t="str">
        <f aca="false">IF(AND(COUNTIFS(Interaction_Log!$B$2:$B$3000,$A296,Interaction_Log!$E$2:$E$3000,"Paid")&gt;0,$C296&lt;&gt;"Paid"),"Paid then re-opened","")</f>
        <v/>
      </c>
    </row>
    <row r="297" customFormat="false" ht="15" hidden="false" customHeight="false" outlineLevel="0" collapsed="false">
      <c r="A297" s="2" t="s">
        <v>1137</v>
      </c>
      <c r="B297" s="2" t="str">
        <f aca="false">IFERROR(INDEX(Lead_Master!$B$2:$B$1000,MATCH($A297,Lead_Master!$A$2:$A$1000,0)),"")</f>
        <v>Tanya Patel</v>
      </c>
      <c r="C297" s="2" t="str">
        <f aca="false">IFERROR(LOOKUP(2,1/(Interaction_Log!$B$2:$B$3000=$A297),Interaction_Log!$E$2:$E$3000),"No contact")</f>
        <v>Switch Off</v>
      </c>
      <c r="D297" s="5" t="str">
        <f aca="false">IFERROR(INDEX(Lists!$B$2:$B$12,MATCH($C297,Lists!$A$2:$A$12,0)),"Unmapped")</f>
        <v>Pending</v>
      </c>
      <c r="E297" s="4" t="str">
        <f aca="false">IFERROR(LOOKUP(2,1/((Interaction_Log!$B$2:$B$3000=$A297)*(Interaction_Log!$G$2:$G$3000&lt;&gt;"")),Interaction_Log!$G$2:$G$3000),"")</f>
        <v/>
      </c>
      <c r="F297" s="5" t="str">
        <f aca="false">IFERROR(INDEX(Lists!$C$2:$C$12,MATCH($C297,Lists!$A$2:$A$12,0)),"")</f>
        <v>Low</v>
      </c>
      <c r="G297" s="5" t="str">
        <f aca="false">IFERROR(INDEX(Lists!$D$2:$D$12,MATCH($C297,Lists!$A$2:$A$12,0)),"")</f>
        <v>Retry</v>
      </c>
      <c r="H297" s="5" t="str">
        <f aca="false">IF(OR($D297="Converted",$D297="Closed"),"—",IF($E297="","Not Scheduled",IF($E297&lt;CRM_Dashboard!$B$3,"Overdue",IF($E297=CRM_Dashboard!$B$3,"Due Today","Upcoming"))))</f>
        <v>Not Scheduled</v>
      </c>
      <c r="I297" s="5" t="n">
        <f aca="false">COUNTIF(Interaction_Log!$B$2:$B$3000,$A297)</f>
        <v>1</v>
      </c>
      <c r="J297" s="5" t="str">
        <f aca="false">IF(COUNTIFS(Interaction_Log!$B$2:$B$3000,$A297,Interaction_Log!$E$2:$E$3000,"Details Sent")&gt;0,"Yes","No")</f>
        <v>No</v>
      </c>
      <c r="K297" s="2" t="str">
        <f aca="false">IF(AND(COUNTIFS(Interaction_Log!$B$2:$B$3000,$A297,Interaction_Log!$E$2:$E$3000,"Paid")&gt;0,$C297&lt;&gt;"Paid"),"Paid then re-opened","")</f>
        <v/>
      </c>
    </row>
    <row r="298" customFormat="false" ht="15" hidden="false" customHeight="false" outlineLevel="0" collapsed="false">
      <c r="A298" s="2" t="s">
        <v>1140</v>
      </c>
      <c r="B298" s="2" t="str">
        <f aca="false">IFERROR(INDEX(Lead_Master!$B$2:$B$1000,MATCH($A298,Lead_Master!$A$2:$A$1000,0)),"")</f>
        <v>Aditya Verma</v>
      </c>
      <c r="C298" s="2" t="str">
        <f aca="false">IFERROR(LOOKUP(2,1/(Interaction_Log!$B$2:$B$3000=$A298),Interaction_Log!$E$2:$E$3000),"No contact")</f>
        <v>Details Sent</v>
      </c>
      <c r="D298" s="5" t="str">
        <f aca="false">IFERROR(INDEX(Lists!$B$2:$B$12,MATCH($C298,Lists!$A$2:$A$12,0)),"Unmapped")</f>
        <v>Follow Up</v>
      </c>
      <c r="E298" s="4" t="n">
        <f aca="false">IFERROR(LOOKUP(2,1/((Interaction_Log!$B$2:$B$3000=$A298)*(Interaction_Log!$G$2:$G$3000&lt;&gt;"")),Interaction_Log!$G$2:$G$3000),"")</f>
        <v>46247</v>
      </c>
      <c r="F298" s="5" t="str">
        <f aca="false">IFERROR(INDEX(Lists!$C$2:$C$12,MATCH($C298,Lists!$A$2:$A$12,0)),"")</f>
        <v>High</v>
      </c>
      <c r="G298" s="5" t="str">
        <f aca="false">IFERROR(INDEX(Lists!$D$2:$D$12,MATCH($C298,Lists!$A$2:$A$12,0)),"")</f>
        <v>Call</v>
      </c>
      <c r="H298" s="5" t="str">
        <f aca="false">IF(OR($D298="Converted",$D298="Closed"),"—",IF($E298="","Not Scheduled",IF($E298&lt;CRM_Dashboard!$B$3,"Overdue",IF($E298=CRM_Dashboard!$B$3,"Due Today","Upcoming"))))</f>
        <v>Overdue</v>
      </c>
      <c r="I298" s="5" t="n">
        <f aca="false">COUNTIF(Interaction_Log!$B$2:$B$3000,$A298)</f>
        <v>3</v>
      </c>
      <c r="J298" s="5" t="str">
        <f aca="false">IF(COUNTIFS(Interaction_Log!$B$2:$B$3000,$A298,Interaction_Log!$E$2:$E$3000,"Details Sent")&gt;0,"Yes","No")</f>
        <v>Yes</v>
      </c>
      <c r="K298" s="2" t="str">
        <f aca="false">IF(AND(COUNTIFS(Interaction_Log!$B$2:$B$3000,$A298,Interaction_Log!$E$2:$E$3000,"Paid")&gt;0,$C298&lt;&gt;"Paid"),"Paid then re-opened","")</f>
        <v/>
      </c>
    </row>
    <row r="299" customFormat="false" ht="15" hidden="false" customHeight="false" outlineLevel="0" collapsed="false">
      <c r="A299" s="2" t="s">
        <v>1144</v>
      </c>
      <c r="B299" s="2" t="str">
        <f aca="false">IFERROR(INDEX(Lead_Master!$B$2:$B$1000,MATCH($A299,Lead_Master!$A$2:$A$1000,0)),"")</f>
        <v>Pooja Jain</v>
      </c>
      <c r="C299" s="2" t="str">
        <f aca="false">IFERROR(LOOKUP(2,1/(Interaction_Log!$B$2:$B$3000=$A299),Interaction_Log!$E$2:$E$3000),"No contact")</f>
        <v>Not Reachable</v>
      </c>
      <c r="D299" s="5" t="str">
        <f aca="false">IFERROR(INDEX(Lists!$B$2:$B$12,MATCH($C299,Lists!$A$2:$A$12,0)),"Unmapped")</f>
        <v>Pending</v>
      </c>
      <c r="E299" s="4" t="str">
        <f aca="false">IFERROR(LOOKUP(2,1/((Interaction_Log!$B$2:$B$3000=$A299)*(Interaction_Log!$G$2:$G$3000&lt;&gt;"")),Interaction_Log!$G$2:$G$3000),"")</f>
        <v/>
      </c>
      <c r="F299" s="5" t="str">
        <f aca="false">IFERROR(INDEX(Lists!$C$2:$C$12,MATCH($C299,Lists!$A$2:$A$12,0)),"")</f>
        <v>Low</v>
      </c>
      <c r="G299" s="5" t="str">
        <f aca="false">IFERROR(INDEX(Lists!$D$2:$D$12,MATCH($C299,Lists!$A$2:$A$12,0)),"")</f>
        <v>Retry</v>
      </c>
      <c r="H299" s="5" t="str">
        <f aca="false">IF(OR($D299="Converted",$D299="Closed"),"—",IF($E299="","Not Scheduled",IF($E299&lt;CRM_Dashboard!$B$3,"Overdue",IF($E299=CRM_Dashboard!$B$3,"Due Today","Upcoming"))))</f>
        <v>Not Scheduled</v>
      </c>
      <c r="I299" s="5" t="n">
        <f aca="false">COUNTIF(Interaction_Log!$B$2:$B$3000,$A299)</f>
        <v>4</v>
      </c>
      <c r="J299" s="5" t="str">
        <f aca="false">IF(COUNTIFS(Interaction_Log!$B$2:$B$3000,$A299,Interaction_Log!$E$2:$E$3000,"Details Sent")&gt;0,"Yes","No")</f>
        <v>Yes</v>
      </c>
      <c r="K299" s="2" t="str">
        <f aca="false">IF(AND(COUNTIFS(Interaction_Log!$B$2:$B$3000,$A299,Interaction_Log!$E$2:$E$3000,"Paid")&gt;0,$C299&lt;&gt;"Paid"),"Paid then re-opened","")</f>
        <v/>
      </c>
    </row>
    <row r="300" customFormat="false" ht="15" hidden="false" customHeight="false" outlineLevel="0" collapsed="false">
      <c r="A300" s="2" t="s">
        <v>1147</v>
      </c>
      <c r="B300" s="2" t="str">
        <f aca="false">IFERROR(INDEX(Lead_Master!$B$2:$B$1000,MATCH($A300,Lead_Master!$A$2:$A$1000,0)),"")</f>
        <v>Varun Singh</v>
      </c>
      <c r="C300" s="2" t="str">
        <f aca="false">IFERROR(LOOKUP(2,1/(Interaction_Log!$B$2:$B$3000=$A300),Interaction_Log!$E$2:$E$3000),"No contact")</f>
        <v>Details Sent</v>
      </c>
      <c r="D300" s="5" t="str">
        <f aca="false">IFERROR(INDEX(Lists!$B$2:$B$12,MATCH($C300,Lists!$A$2:$A$12,0)),"Unmapped")</f>
        <v>Follow Up</v>
      </c>
      <c r="E300" s="4" t="n">
        <f aca="false">IFERROR(LOOKUP(2,1/((Interaction_Log!$B$2:$B$3000=$A300)*(Interaction_Log!$G$2:$G$3000&lt;&gt;"")),Interaction_Log!$G$2:$G$3000),"")</f>
        <v>46220</v>
      </c>
      <c r="F300" s="5" t="str">
        <f aca="false">IFERROR(INDEX(Lists!$C$2:$C$12,MATCH($C300,Lists!$A$2:$A$12,0)),"")</f>
        <v>High</v>
      </c>
      <c r="G300" s="5" t="str">
        <f aca="false">IFERROR(INDEX(Lists!$D$2:$D$12,MATCH($C300,Lists!$A$2:$A$12,0)),"")</f>
        <v>Call</v>
      </c>
      <c r="H300" s="5" t="str">
        <f aca="false">IF(OR($D300="Converted",$D300="Closed"),"—",IF($E300="","Not Scheduled",IF($E300&lt;CRM_Dashboard!$B$3,"Overdue",IF($E300=CRM_Dashboard!$B$3,"Due Today","Upcoming"))))</f>
        <v>Overdue</v>
      </c>
      <c r="I300" s="5" t="n">
        <f aca="false">COUNTIF(Interaction_Log!$B$2:$B$3000,$A300)</f>
        <v>4</v>
      </c>
      <c r="J300" s="5" t="str">
        <f aca="false">IF(COUNTIFS(Interaction_Log!$B$2:$B$3000,$A300,Interaction_Log!$E$2:$E$3000,"Details Sent")&gt;0,"Yes","No")</f>
        <v>Yes</v>
      </c>
      <c r="K300" s="2" t="str">
        <f aca="false">IF(AND(COUNTIFS(Interaction_Log!$B$2:$B$3000,$A300,Interaction_Log!$E$2:$E$3000,"Paid")&gt;0,$C300&lt;&gt;"Paid"),"Paid then re-opened","")</f>
        <v/>
      </c>
    </row>
    <row r="301" customFormat="false" ht="15" hidden="false" customHeight="false" outlineLevel="0" collapsed="false">
      <c r="A301" s="2" t="s">
        <v>1150</v>
      </c>
      <c r="B301" s="2" t="str">
        <f aca="false">IFERROR(INDEX(Lead_Master!$B$2:$B$1000,MATCH($A301,Lead_Master!$A$2:$A$1000,0)),"")</f>
        <v>Ananya Rathore</v>
      </c>
      <c r="C301" s="2" t="str">
        <f aca="false">IFERROR(LOOKUP(2,1/(Interaction_Log!$B$2:$B$3000=$A301),Interaction_Log!$E$2:$E$3000),"No contact")</f>
        <v>DNP</v>
      </c>
      <c r="D301" s="5" t="str">
        <f aca="false">IFERROR(INDEX(Lists!$B$2:$B$12,MATCH($C301,Lists!$A$2:$A$12,0)),"Unmapped")</f>
        <v>Pending</v>
      </c>
      <c r="E301" s="4" t="str">
        <f aca="false">IFERROR(LOOKUP(2,1/((Interaction_Log!$B$2:$B$3000=$A301)*(Interaction_Log!$G$2:$G$3000&lt;&gt;"")),Interaction_Log!$G$2:$G$3000),"")</f>
        <v/>
      </c>
      <c r="F301" s="5" t="str">
        <f aca="false">IFERROR(INDEX(Lists!$C$2:$C$12,MATCH($C301,Lists!$A$2:$A$12,0)),"")</f>
        <v>Low</v>
      </c>
      <c r="G301" s="5" t="str">
        <f aca="false">IFERROR(INDEX(Lists!$D$2:$D$12,MATCH($C301,Lists!$A$2:$A$12,0)),"")</f>
        <v>Retry</v>
      </c>
      <c r="H301" s="5" t="str">
        <f aca="false">IF(OR($D301="Converted",$D301="Closed"),"—",IF($E301="","Not Scheduled",IF($E301&lt;CRM_Dashboard!$B$3,"Overdue",IF($E301=CRM_Dashboard!$B$3,"Due Today","Upcoming"))))</f>
        <v>Not Scheduled</v>
      </c>
      <c r="I301" s="5" t="n">
        <f aca="false">COUNTIF(Interaction_Log!$B$2:$B$3000,$A301)</f>
        <v>4</v>
      </c>
      <c r="J301" s="5" t="str">
        <f aca="false">IF(COUNTIFS(Interaction_Log!$B$2:$B$3000,$A301,Interaction_Log!$E$2:$E$3000,"Details Sent")&gt;0,"Yes","No")</f>
        <v>No</v>
      </c>
      <c r="K301" s="2" t="str">
        <f aca="false">IF(AND(COUNTIFS(Interaction_Log!$B$2:$B$3000,$A301,Interaction_Log!$E$2:$E$3000,"Paid")&gt;0,$C301&lt;&gt;"Paid"),"Paid then re-opened","")</f>
        <v/>
      </c>
    </row>
  </sheetData>
  <autoFilter ref="A1:K301"/>
  <conditionalFormatting sqref="H2:H301">
    <cfRule type="cellIs" priority="2" operator="equal" aboveAverage="0" equalAverage="0" bottom="0" percent="0" rank="0" text="" dxfId="4">
      <formula>"Overdue"</formula>
    </cfRule>
    <cfRule type="cellIs" priority="3" operator="equal" aboveAverage="0" equalAverage="0" bottom="0" percent="0" rank="0" text="" dxfId="8">
      <formula>"Due Today"</formula>
    </cfRule>
    <cfRule type="cellIs" priority="4" operator="equal" aboveAverage="0" equalAverage="0" bottom="0" percent="0" rank="0" text="" dxfId="9">
      <formula>"Not Scheduled"</formula>
    </cfRule>
  </conditionalFormatting>
  <conditionalFormatting sqref="F2:F301">
    <cfRule type="cellIs" priority="5" operator="equal" aboveAverage="0" equalAverage="0" bottom="0" percent="0" rank="0" text="" dxfId="10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M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19.7" hidden="false" customHeight="false" outlineLevel="0" collapsed="false">
      <c r="A1" s="6" t="s">
        <v>1936</v>
      </c>
    </row>
    <row r="3" customFormat="false" ht="15" hidden="false" customHeight="false" outlineLevel="0" collapsed="false">
      <c r="A3" s="7" t="s">
        <v>1937</v>
      </c>
      <c r="B3" s="8" t="n">
        <v>46294</v>
      </c>
      <c r="C3" s="9" t="s">
        <v>1938</v>
      </c>
    </row>
    <row r="5" customFormat="false" ht="15" hidden="false" customHeight="false" outlineLevel="0" collapsed="false">
      <c r="A5" s="10" t="s">
        <v>1939</v>
      </c>
      <c r="B5" s="11" t="s">
        <v>1940</v>
      </c>
      <c r="C5" s="11"/>
      <c r="D5" s="11" t="s">
        <v>1941</v>
      </c>
      <c r="E5" s="11"/>
      <c r="F5" s="11" t="s">
        <v>1942</v>
      </c>
      <c r="G5" s="11"/>
      <c r="H5" s="11" t="s">
        <v>1943</v>
      </c>
      <c r="I5" s="11"/>
      <c r="J5" s="11" t="s">
        <v>1944</v>
      </c>
      <c r="K5" s="11"/>
      <c r="L5" s="11" t="s">
        <v>1945</v>
      </c>
      <c r="M5" s="11"/>
    </row>
    <row r="6" customFormat="false" ht="36" hidden="false" customHeight="true" outlineLevel="0" collapsed="false">
      <c r="A6" s="12" t="n">
        <f aca="false">COUNTA(Lead_Master!$A$2:$A$1000)</f>
        <v>300</v>
      </c>
      <c r="B6" s="13" t="n">
        <f aca="false">COUNTIF(Follow_Up_Tracker!$I$2:$I$1000,"&gt;0")</f>
        <v>300</v>
      </c>
      <c r="C6" s="13"/>
      <c r="D6" s="13" t="n">
        <f aca="false">COUNT(Follow_Up_Tracker!$E$2:$E$1000)</f>
        <v>126</v>
      </c>
      <c r="E6" s="13"/>
      <c r="F6" s="13" t="n">
        <f aca="false">COUNTIF(Follow_Up_Tracker!$J$2:$J$1000,"Yes")</f>
        <v>114</v>
      </c>
      <c r="G6" s="13"/>
      <c r="H6" s="13" t="n">
        <f aca="false">COUNTIF(Follow_Up_Tracker!$C$2:$C$1000,"Paid")</f>
        <v>24</v>
      </c>
      <c r="I6" s="13"/>
      <c r="J6" s="14" t="n">
        <f aca="false">IFERROR(H6/A6,0)</f>
        <v>0.08</v>
      </c>
      <c r="K6" s="14"/>
      <c r="L6" s="13" t="n">
        <f aca="false">COUNTIF(Follow_Up_Tracker!$H$2:$H$1000,"Overdue")</f>
        <v>119</v>
      </c>
      <c r="M6" s="13"/>
    </row>
    <row r="8" customFormat="false" ht="15" hidden="false" customHeight="false" outlineLevel="0" collapsed="false">
      <c r="A8" s="15" t="s">
        <v>1946</v>
      </c>
    </row>
    <row r="10" customFormat="false" ht="15" hidden="false" customHeight="false" outlineLevel="0" collapsed="false">
      <c r="A10" s="16" t="s">
        <v>1947</v>
      </c>
    </row>
    <row r="11" customFormat="false" ht="15" hidden="false" customHeight="false" outlineLevel="0" collapsed="false">
      <c r="A11" s="17" t="s">
        <v>1948</v>
      </c>
      <c r="B11" s="17" t="s">
        <v>1949</v>
      </c>
      <c r="C11" s="17" t="s">
        <v>1950</v>
      </c>
    </row>
    <row r="12" customFormat="false" ht="15" hidden="false" customHeight="false" outlineLevel="0" collapsed="false">
      <c r="A12" s="2" t="s">
        <v>1162</v>
      </c>
      <c r="B12" s="2" t="n">
        <f aca="false">COUNTIF(Follow_Up_Tracker!$C$2:$C$1000,$A12)</f>
        <v>77</v>
      </c>
      <c r="C12" s="18" t="n">
        <f aca="false">IFERROR(B12/SUM($B$12:$B$22),0)</f>
        <v>0.256666666666667</v>
      </c>
    </row>
    <row r="13" customFormat="false" ht="15" hidden="false" customHeight="false" outlineLevel="0" collapsed="false">
      <c r="A13" s="2" t="s">
        <v>1176</v>
      </c>
      <c r="B13" s="2" t="n">
        <f aca="false">COUNTIF(Follow_Up_Tracker!$C$2:$C$1000,$A13)</f>
        <v>49</v>
      </c>
      <c r="C13" s="18" t="n">
        <f aca="false">IFERROR(B13/SUM($B$12:$B$22),0)</f>
        <v>0.163333333333333</v>
      </c>
    </row>
    <row r="14" customFormat="false" ht="15" hidden="false" customHeight="false" outlineLevel="0" collapsed="false">
      <c r="A14" s="2" t="s">
        <v>1167</v>
      </c>
      <c r="B14" s="2" t="n">
        <f aca="false">COUNTIF(Follow_Up_Tracker!$C$2:$C$1000,$A14)</f>
        <v>41</v>
      </c>
      <c r="C14" s="18" t="n">
        <f aca="false">IFERROR(B14/SUM($B$12:$B$22),0)</f>
        <v>0.136666666666667</v>
      </c>
    </row>
    <row r="15" customFormat="false" ht="15" hidden="false" customHeight="false" outlineLevel="0" collapsed="false">
      <c r="A15" s="2" t="s">
        <v>1173</v>
      </c>
      <c r="B15" s="2" t="n">
        <f aca="false">COUNTIF(Follow_Up_Tracker!$C$2:$C$1000,$A15)</f>
        <v>33</v>
      </c>
      <c r="C15" s="18" t="n">
        <f aca="false">IFERROR(B15/SUM($B$12:$B$22),0)</f>
        <v>0.11</v>
      </c>
    </row>
    <row r="16" customFormat="false" ht="15" hidden="false" customHeight="false" outlineLevel="0" collapsed="false">
      <c r="A16" s="2" t="s">
        <v>1185</v>
      </c>
      <c r="B16" s="2" t="n">
        <f aca="false">COUNTIF(Follow_Up_Tracker!$C$2:$C$1000,$A16)</f>
        <v>24</v>
      </c>
      <c r="C16" s="18" t="n">
        <f aca="false">IFERROR(B16/SUM($B$12:$B$22),0)</f>
        <v>0.08</v>
      </c>
    </row>
    <row r="17" customFormat="false" ht="15" hidden="false" customHeight="false" outlineLevel="0" collapsed="false">
      <c r="A17" s="2" t="s">
        <v>1188</v>
      </c>
      <c r="B17" s="2" t="n">
        <f aca="false">COUNTIF(Follow_Up_Tracker!$C$2:$C$1000,$A17)</f>
        <v>24</v>
      </c>
      <c r="C17" s="18" t="n">
        <f aca="false">IFERROR(B17/SUM($B$12:$B$22),0)</f>
        <v>0.08</v>
      </c>
    </row>
    <row r="18" customFormat="false" ht="15" hidden="false" customHeight="false" outlineLevel="0" collapsed="false">
      <c r="A18" s="2" t="s">
        <v>1179</v>
      </c>
      <c r="B18" s="2" t="n">
        <f aca="false">COUNTIF(Follow_Up_Tracker!$C$2:$C$1000,$A18)</f>
        <v>17</v>
      </c>
      <c r="C18" s="18" t="n">
        <f aca="false">IFERROR(B18/SUM($B$12:$B$22),0)</f>
        <v>0.0566666666666667</v>
      </c>
    </row>
    <row r="19" customFormat="false" ht="15" hidden="false" customHeight="false" outlineLevel="0" collapsed="false">
      <c r="A19" s="2" t="s">
        <v>1252</v>
      </c>
      <c r="B19" s="2" t="n">
        <f aca="false">COUNTIF(Follow_Up_Tracker!$C$2:$C$1000,$A19)</f>
        <v>15</v>
      </c>
      <c r="C19" s="18" t="n">
        <f aca="false">IFERROR(B19/SUM($B$12:$B$22),0)</f>
        <v>0.05</v>
      </c>
    </row>
    <row r="20" customFormat="false" ht="15" hidden="false" customHeight="false" outlineLevel="0" collapsed="false">
      <c r="A20" s="2" t="s">
        <v>1205</v>
      </c>
      <c r="B20" s="2" t="n">
        <f aca="false">COUNTIF(Follow_Up_Tracker!$C$2:$C$1000,$A20)</f>
        <v>9</v>
      </c>
      <c r="C20" s="18" t="n">
        <f aca="false">IFERROR(B20/SUM($B$12:$B$22),0)</f>
        <v>0.03</v>
      </c>
    </row>
    <row r="21" customFormat="false" ht="15" hidden="false" customHeight="false" outlineLevel="0" collapsed="false">
      <c r="A21" s="2" t="s">
        <v>1171</v>
      </c>
      <c r="B21" s="2" t="n">
        <f aca="false">COUNTIF(Follow_Up_Tracker!$C$2:$C$1000,$A21)</f>
        <v>8</v>
      </c>
      <c r="C21" s="18" t="n">
        <f aca="false">IFERROR(B21/SUM($B$12:$B$22),0)</f>
        <v>0.0266666666666667</v>
      </c>
    </row>
    <row r="22" customFormat="false" ht="15" hidden="false" customHeight="false" outlineLevel="0" collapsed="false">
      <c r="A22" s="2" t="s">
        <v>1236</v>
      </c>
      <c r="B22" s="2" t="n">
        <f aca="false">COUNTIF(Follow_Up_Tracker!$C$2:$C$1000,$A22)</f>
        <v>3</v>
      </c>
      <c r="C22" s="18" t="n">
        <f aca="false">IFERROR(B22/SUM($B$12:$B$22),0)</f>
        <v>0.01</v>
      </c>
    </row>
    <row r="23" customFormat="false" ht="15" hidden="false" customHeight="false" outlineLevel="0" collapsed="false">
      <c r="A23" s="19" t="s">
        <v>1951</v>
      </c>
      <c r="B23" s="19" t="n">
        <f aca="false">SUM(B12:B22)</f>
        <v>300</v>
      </c>
      <c r="C23" s="20"/>
    </row>
    <row r="27" customFormat="false" ht="15" hidden="false" customHeight="false" outlineLevel="0" collapsed="false">
      <c r="A27" s="16" t="s">
        <v>1952</v>
      </c>
    </row>
    <row r="28" customFormat="false" ht="15" hidden="false" customHeight="false" outlineLevel="0" collapsed="false">
      <c r="A28" s="17" t="s">
        <v>1948</v>
      </c>
      <c r="B28" s="17" t="s">
        <v>1949</v>
      </c>
      <c r="C28" s="17" t="s">
        <v>1950</v>
      </c>
    </row>
    <row r="29" customFormat="false" ht="15" hidden="false" customHeight="false" outlineLevel="0" collapsed="false">
      <c r="A29" s="2" t="s">
        <v>24</v>
      </c>
      <c r="B29" s="2" t="n">
        <f aca="false">COUNTIF(Lead_Master!$H$2:$H$1000,$A29)</f>
        <v>53</v>
      </c>
      <c r="C29" s="18" t="n">
        <f aca="false">IFERROR(B29/SUM($B$29:$B$35),0)</f>
        <v>0.176666666666667</v>
      </c>
    </row>
    <row r="30" customFormat="false" ht="15" hidden="false" customHeight="false" outlineLevel="0" collapsed="false">
      <c r="A30" s="2" t="s">
        <v>76</v>
      </c>
      <c r="B30" s="2" t="n">
        <f aca="false">COUNTIF(Lead_Master!$H$2:$H$1000,$A30)</f>
        <v>48</v>
      </c>
      <c r="C30" s="18" t="n">
        <f aca="false">IFERROR(B30/SUM($B$29:$B$35),0)</f>
        <v>0.16</v>
      </c>
    </row>
    <row r="31" customFormat="false" ht="15" hidden="false" customHeight="false" outlineLevel="0" collapsed="false">
      <c r="A31" s="2" t="s">
        <v>107</v>
      </c>
      <c r="B31" s="2" t="n">
        <f aca="false">COUNTIF(Lead_Master!$H$2:$H$1000,$A31)</f>
        <v>43</v>
      </c>
      <c r="C31" s="18" t="n">
        <f aca="false">IFERROR(B31/SUM($B$29:$B$35),0)</f>
        <v>0.143333333333333</v>
      </c>
    </row>
    <row r="32" customFormat="false" ht="15" hidden="false" customHeight="false" outlineLevel="0" collapsed="false">
      <c r="A32" s="2" t="s">
        <v>16</v>
      </c>
      <c r="B32" s="2" t="n">
        <f aca="false">COUNTIF(Lead_Master!$H$2:$H$1000,$A32)</f>
        <v>42</v>
      </c>
      <c r="C32" s="18" t="n">
        <f aca="false">IFERROR(B32/SUM($B$29:$B$35),0)</f>
        <v>0.14</v>
      </c>
    </row>
    <row r="33" customFormat="false" ht="15" hidden="false" customHeight="false" outlineLevel="0" collapsed="false">
      <c r="A33" s="2" t="s">
        <v>42</v>
      </c>
      <c r="B33" s="2" t="n">
        <f aca="false">COUNTIF(Lead_Master!$H$2:$H$1000,$A33)</f>
        <v>40</v>
      </c>
      <c r="C33" s="18" t="n">
        <f aca="false">IFERROR(B33/SUM($B$29:$B$35),0)</f>
        <v>0.133333333333333</v>
      </c>
    </row>
    <row r="34" customFormat="false" ht="15" hidden="false" customHeight="false" outlineLevel="0" collapsed="false">
      <c r="A34" s="2" t="s">
        <v>70</v>
      </c>
      <c r="B34" s="2" t="n">
        <f aca="false">COUNTIF(Lead_Master!$H$2:$H$1000,$A34)</f>
        <v>38</v>
      </c>
      <c r="C34" s="18" t="n">
        <f aca="false">IFERROR(B34/SUM($B$29:$B$35),0)</f>
        <v>0.126666666666667</v>
      </c>
    </row>
    <row r="35" customFormat="false" ht="15" hidden="false" customHeight="false" outlineLevel="0" collapsed="false">
      <c r="A35" s="2" t="s">
        <v>49</v>
      </c>
      <c r="B35" s="2" t="n">
        <f aca="false">COUNTIF(Lead_Master!$H$2:$H$1000,$A35)</f>
        <v>36</v>
      </c>
      <c r="C35" s="18" t="n">
        <f aca="false">IFERROR(B35/SUM($B$29:$B$35),0)</f>
        <v>0.12</v>
      </c>
    </row>
    <row r="36" customFormat="false" ht="15" hidden="false" customHeight="false" outlineLevel="0" collapsed="false">
      <c r="A36" s="19" t="s">
        <v>1951</v>
      </c>
      <c r="B36" s="19" t="n">
        <f aca="false">SUM(B29:B35)</f>
        <v>300</v>
      </c>
      <c r="C36" s="20"/>
    </row>
    <row r="44" customFormat="false" ht="15" hidden="false" customHeight="false" outlineLevel="0" collapsed="false">
      <c r="A44" s="16" t="s">
        <v>1953</v>
      </c>
    </row>
    <row r="45" customFormat="false" ht="15" hidden="false" customHeight="false" outlineLevel="0" collapsed="false">
      <c r="A45" s="17" t="s">
        <v>1948</v>
      </c>
      <c r="B45" s="17" t="s">
        <v>1949</v>
      </c>
      <c r="C45" s="17" t="s">
        <v>1950</v>
      </c>
    </row>
    <row r="46" customFormat="false" ht="15" hidden="false" customHeight="false" outlineLevel="0" collapsed="false">
      <c r="A46" s="2" t="s">
        <v>1162</v>
      </c>
      <c r="B46" s="2" t="n">
        <f aca="false">COUNTIF(Interaction_Log!$E$2:$E$3000,$A46)</f>
        <v>201</v>
      </c>
      <c r="C46" s="18" t="n">
        <f aca="false">IFERROR(B46/SUM($B$46:$B$56),0)</f>
        <v>0.269076305220884</v>
      </c>
    </row>
    <row r="47" customFormat="false" ht="15" hidden="false" customHeight="false" outlineLevel="0" collapsed="false">
      <c r="A47" s="2" t="s">
        <v>1176</v>
      </c>
      <c r="B47" s="2" t="n">
        <f aca="false">COUNTIF(Interaction_Log!$E$2:$E$3000,$A47)</f>
        <v>139</v>
      </c>
      <c r="C47" s="18" t="n">
        <f aca="false">IFERROR(B47/SUM($B$46:$B$56),0)</f>
        <v>0.186077643908969</v>
      </c>
    </row>
    <row r="48" customFormat="false" ht="15" hidden="false" customHeight="false" outlineLevel="0" collapsed="false">
      <c r="A48" s="2" t="s">
        <v>1167</v>
      </c>
      <c r="B48" s="2" t="n">
        <f aca="false">COUNTIF(Interaction_Log!$E$2:$E$3000,$A48)</f>
        <v>95</v>
      </c>
      <c r="C48" s="18" t="n">
        <f aca="false">IFERROR(B48/SUM($B$46:$B$56),0)</f>
        <v>0.127175368139224</v>
      </c>
    </row>
    <row r="49" customFormat="false" ht="15" hidden="false" customHeight="false" outlineLevel="0" collapsed="false">
      <c r="A49" s="2" t="s">
        <v>1173</v>
      </c>
      <c r="B49" s="2" t="n">
        <f aca="false">COUNTIF(Interaction_Log!$E$2:$E$3000,$A49)</f>
        <v>83</v>
      </c>
      <c r="C49" s="18" t="n">
        <f aca="false">IFERROR(B49/SUM($B$46:$B$56),0)</f>
        <v>0.111111111111111</v>
      </c>
    </row>
    <row r="50" customFormat="false" ht="15" hidden="false" customHeight="false" outlineLevel="0" collapsed="false">
      <c r="A50" s="2" t="s">
        <v>1188</v>
      </c>
      <c r="B50" s="2" t="n">
        <f aca="false">COUNTIF(Interaction_Log!$E$2:$E$3000,$A50)</f>
        <v>67</v>
      </c>
      <c r="C50" s="18" t="n">
        <f aca="false">IFERROR(B50/SUM($B$46:$B$56),0)</f>
        <v>0.0896921017402945</v>
      </c>
    </row>
    <row r="51" customFormat="false" ht="15" hidden="false" customHeight="false" outlineLevel="0" collapsed="false">
      <c r="A51" s="2" t="s">
        <v>1252</v>
      </c>
      <c r="B51" s="2" t="n">
        <f aca="false">COUNTIF(Interaction_Log!$E$2:$E$3000,$A51)</f>
        <v>40</v>
      </c>
      <c r="C51" s="18" t="n">
        <f aca="false">IFERROR(B51/SUM($B$46:$B$56),0)</f>
        <v>0.0535475234270415</v>
      </c>
    </row>
    <row r="52" customFormat="false" ht="15" hidden="false" customHeight="false" outlineLevel="0" collapsed="false">
      <c r="A52" s="2" t="s">
        <v>1185</v>
      </c>
      <c r="B52" s="2" t="n">
        <f aca="false">COUNTIF(Interaction_Log!$E$2:$E$3000,$A52)</f>
        <v>39</v>
      </c>
      <c r="C52" s="18" t="n">
        <f aca="false">IFERROR(B52/SUM($B$46:$B$56),0)</f>
        <v>0.0522088353413655</v>
      </c>
    </row>
    <row r="53" customFormat="false" ht="15" hidden="false" customHeight="false" outlineLevel="0" collapsed="false">
      <c r="A53" s="2" t="s">
        <v>1179</v>
      </c>
      <c r="B53" s="2" t="n">
        <f aca="false">COUNTIF(Interaction_Log!$E$2:$E$3000,$A53)</f>
        <v>33</v>
      </c>
      <c r="C53" s="18" t="n">
        <f aca="false">IFERROR(B53/SUM($B$46:$B$56),0)</f>
        <v>0.0441767068273092</v>
      </c>
    </row>
    <row r="54" customFormat="false" ht="15" hidden="false" customHeight="false" outlineLevel="0" collapsed="false">
      <c r="A54" s="2" t="s">
        <v>1171</v>
      </c>
      <c r="B54" s="2" t="n">
        <f aca="false">COUNTIF(Interaction_Log!$E$2:$E$3000,$A54)</f>
        <v>22</v>
      </c>
      <c r="C54" s="18" t="n">
        <f aca="false">IFERROR(B54/SUM($B$46:$B$56),0)</f>
        <v>0.0294511378848728</v>
      </c>
    </row>
    <row r="55" customFormat="false" ht="15" hidden="false" customHeight="false" outlineLevel="0" collapsed="false">
      <c r="A55" s="2" t="s">
        <v>1205</v>
      </c>
      <c r="B55" s="2" t="n">
        <f aca="false">COUNTIF(Interaction_Log!$E$2:$E$3000,$A55)</f>
        <v>18</v>
      </c>
      <c r="C55" s="18" t="n">
        <f aca="false">IFERROR(B55/SUM($B$46:$B$56),0)</f>
        <v>0.0240963855421687</v>
      </c>
    </row>
    <row r="56" customFormat="false" ht="15" hidden="false" customHeight="false" outlineLevel="0" collapsed="false">
      <c r="A56" s="2" t="s">
        <v>1236</v>
      </c>
      <c r="B56" s="2" t="n">
        <f aca="false">COUNTIF(Interaction_Log!$E$2:$E$3000,$A56)</f>
        <v>10</v>
      </c>
      <c r="C56" s="18" t="n">
        <f aca="false">IFERROR(B56/SUM($B$46:$B$56),0)</f>
        <v>0.0133868808567604</v>
      </c>
    </row>
    <row r="57" customFormat="false" ht="15" hidden="false" customHeight="false" outlineLevel="0" collapsed="false">
      <c r="A57" s="19" t="s">
        <v>1951</v>
      </c>
      <c r="B57" s="19" t="n">
        <f aca="false">SUM(B46:B56)</f>
        <v>747</v>
      </c>
      <c r="C57" s="20"/>
    </row>
    <row r="61" customFormat="false" ht="15" hidden="false" customHeight="false" outlineLevel="0" collapsed="false">
      <c r="A61" s="16" t="s">
        <v>1954</v>
      </c>
    </row>
    <row r="62" customFormat="false" ht="15" hidden="false" customHeight="false" outlineLevel="0" collapsed="false">
      <c r="A62" s="17" t="s">
        <v>1948</v>
      </c>
      <c r="B62" s="17" t="s">
        <v>1949</v>
      </c>
      <c r="C62" s="17" t="s">
        <v>1950</v>
      </c>
    </row>
    <row r="63" customFormat="false" ht="15" hidden="false" customHeight="false" outlineLevel="0" collapsed="false">
      <c r="A63" s="2" t="s">
        <v>43</v>
      </c>
      <c r="B63" s="2" t="n">
        <f aca="false">COUNTIF(Lead_Master!$I$2:$I$1000,$A63)</f>
        <v>115</v>
      </c>
      <c r="C63" s="18" t="n">
        <f aca="false">IFERROR(B63/SUM($B$63:$B$65),0)</f>
        <v>0.383333333333333</v>
      </c>
    </row>
    <row r="64" customFormat="false" ht="15" hidden="false" customHeight="false" outlineLevel="0" collapsed="false">
      <c r="A64" s="2" t="s">
        <v>17</v>
      </c>
      <c r="B64" s="2" t="n">
        <f aca="false">COUNTIF(Lead_Master!$I$2:$I$1000,$A64)</f>
        <v>97</v>
      </c>
      <c r="C64" s="18" t="n">
        <f aca="false">IFERROR(B64/SUM($B$63:$B$65),0)</f>
        <v>0.323333333333333</v>
      </c>
    </row>
    <row r="65" customFormat="false" ht="15" hidden="false" customHeight="false" outlineLevel="0" collapsed="false">
      <c r="A65" s="2" t="s">
        <v>36</v>
      </c>
      <c r="B65" s="2" t="n">
        <f aca="false">COUNTIF(Lead_Master!$I$2:$I$1000,$A65)</f>
        <v>88</v>
      </c>
      <c r="C65" s="18" t="n">
        <f aca="false">IFERROR(B65/SUM($B$63:$B$65),0)</f>
        <v>0.293333333333333</v>
      </c>
    </row>
    <row r="66" customFormat="false" ht="15" hidden="false" customHeight="false" outlineLevel="0" collapsed="false">
      <c r="A66" s="19" t="s">
        <v>1951</v>
      </c>
      <c r="B66" s="19" t="n">
        <f aca="false">SUM(B63:B65)</f>
        <v>300</v>
      </c>
      <c r="C66" s="20"/>
    </row>
  </sheetData>
  <mergeCells count="12"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1156</v>
      </c>
      <c r="B1" s="1" t="s">
        <v>1929</v>
      </c>
      <c r="C1" s="1" t="s">
        <v>1930</v>
      </c>
      <c r="D1" s="1" t="s">
        <v>1931</v>
      </c>
      <c r="F1" s="9" t="s">
        <v>1955</v>
      </c>
    </row>
    <row r="2" customFormat="false" ht="15" hidden="false" customHeight="false" outlineLevel="0" collapsed="false">
      <c r="A2" s="2" t="s">
        <v>1176</v>
      </c>
      <c r="B2" s="21" t="s">
        <v>1167</v>
      </c>
      <c r="C2" s="21" t="s">
        <v>1956</v>
      </c>
      <c r="D2" s="21" t="s">
        <v>1161</v>
      </c>
    </row>
    <row r="3" customFormat="false" ht="15" hidden="false" customHeight="false" outlineLevel="0" collapsed="false">
      <c r="A3" s="2" t="s">
        <v>1167</v>
      </c>
      <c r="B3" s="21" t="s">
        <v>1167</v>
      </c>
      <c r="C3" s="21" t="s">
        <v>1956</v>
      </c>
      <c r="D3" s="21" t="s">
        <v>1161</v>
      </c>
    </row>
    <row r="4" customFormat="false" ht="15" hidden="false" customHeight="false" outlineLevel="0" collapsed="false">
      <c r="A4" s="2" t="s">
        <v>1236</v>
      </c>
      <c r="B4" s="21" t="s">
        <v>1167</v>
      </c>
      <c r="C4" s="21" t="s">
        <v>1957</v>
      </c>
      <c r="D4" s="21" t="s">
        <v>1161</v>
      </c>
    </row>
    <row r="5" customFormat="false" ht="15" hidden="false" customHeight="false" outlineLevel="0" collapsed="false">
      <c r="A5" s="2" t="s">
        <v>1173</v>
      </c>
      <c r="B5" s="21" t="s">
        <v>1958</v>
      </c>
      <c r="C5" s="21" t="s">
        <v>1957</v>
      </c>
      <c r="D5" s="21" t="s">
        <v>1161</v>
      </c>
    </row>
    <row r="6" customFormat="false" ht="15" hidden="false" customHeight="false" outlineLevel="0" collapsed="false">
      <c r="A6" s="2" t="s">
        <v>1171</v>
      </c>
      <c r="B6" s="21" t="s">
        <v>1958</v>
      </c>
      <c r="C6" s="21" t="s">
        <v>1957</v>
      </c>
      <c r="D6" s="21" t="s">
        <v>1959</v>
      </c>
    </row>
    <row r="7" customFormat="false" ht="15" hidden="false" customHeight="false" outlineLevel="0" collapsed="false">
      <c r="A7" s="2" t="s">
        <v>1162</v>
      </c>
      <c r="B7" s="21" t="s">
        <v>1958</v>
      </c>
      <c r="C7" s="21" t="s">
        <v>1960</v>
      </c>
      <c r="D7" s="21" t="s">
        <v>1959</v>
      </c>
    </row>
    <row r="8" customFormat="false" ht="15" hidden="false" customHeight="false" outlineLevel="0" collapsed="false">
      <c r="A8" s="2" t="s">
        <v>1179</v>
      </c>
      <c r="B8" s="21" t="s">
        <v>1958</v>
      </c>
      <c r="C8" s="21" t="s">
        <v>1960</v>
      </c>
      <c r="D8" s="21" t="s">
        <v>1959</v>
      </c>
    </row>
    <row r="9" customFormat="false" ht="15" hidden="false" customHeight="false" outlineLevel="0" collapsed="false">
      <c r="A9" s="2" t="s">
        <v>1252</v>
      </c>
      <c r="B9" s="21" t="s">
        <v>1958</v>
      </c>
      <c r="C9" s="21" t="s">
        <v>1960</v>
      </c>
      <c r="D9" s="21" t="s">
        <v>1959</v>
      </c>
    </row>
    <row r="10" customFormat="false" ht="15" hidden="false" customHeight="false" outlineLevel="0" collapsed="false">
      <c r="A10" s="2" t="s">
        <v>1185</v>
      </c>
      <c r="B10" s="21" t="s">
        <v>1961</v>
      </c>
      <c r="C10" s="21" t="s">
        <v>1962</v>
      </c>
      <c r="D10" s="21" t="s">
        <v>1963</v>
      </c>
    </row>
    <row r="11" customFormat="false" ht="15" hidden="false" customHeight="false" outlineLevel="0" collapsed="false">
      <c r="A11" s="2" t="s">
        <v>1188</v>
      </c>
      <c r="B11" s="21" t="s">
        <v>1964</v>
      </c>
      <c r="C11" s="21" t="s">
        <v>1962</v>
      </c>
      <c r="D11" s="21" t="s">
        <v>1965</v>
      </c>
    </row>
    <row r="12" customFormat="false" ht="15" hidden="false" customHeight="false" outlineLevel="0" collapsed="false">
      <c r="A12" s="2" t="s">
        <v>1205</v>
      </c>
      <c r="B12" s="21" t="s">
        <v>1964</v>
      </c>
      <c r="C12" s="21" t="s">
        <v>1962</v>
      </c>
      <c r="D12" s="21" t="s">
        <v>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22" t="s">
        <v>1967</v>
      </c>
    </row>
    <row r="3" customFormat="false" ht="30" hidden="false" customHeight="true" outlineLevel="0" collapsed="false">
      <c r="A3" s="23" t="s">
        <v>1968</v>
      </c>
      <c r="B3" s="23"/>
      <c r="C3" s="23"/>
      <c r="D3" s="23"/>
    </row>
    <row r="4" customFormat="false" ht="30" hidden="false" customHeight="true" outlineLevel="0" collapsed="false">
      <c r="A4" s="23" t="s">
        <v>1969</v>
      </c>
      <c r="B4" s="23"/>
      <c r="C4" s="23"/>
      <c r="D4" s="23"/>
    </row>
    <row r="5" customFormat="false" ht="30" hidden="false" customHeight="true" outlineLevel="0" collapsed="false">
      <c r="A5" s="23" t="s">
        <v>1970</v>
      </c>
      <c r="B5" s="23"/>
      <c r="C5" s="23"/>
      <c r="D5" s="23"/>
    </row>
    <row r="6" customFormat="false" ht="30" hidden="false" customHeight="true" outlineLevel="0" collapsed="false">
      <c r="A6" s="23" t="s">
        <v>1971</v>
      </c>
      <c r="B6" s="23"/>
      <c r="C6" s="23"/>
      <c r="D6" s="23"/>
    </row>
    <row r="7" customFormat="false" ht="30" hidden="false" customHeight="true" outlineLevel="0" collapsed="false">
      <c r="A7" s="23" t="s">
        <v>1972</v>
      </c>
      <c r="B7" s="23"/>
      <c r="C7" s="23"/>
      <c r="D7" s="23"/>
    </row>
    <row r="8" customFormat="false" ht="30" hidden="false" customHeight="true" outlineLevel="0" collapsed="false">
      <c r="A8" s="23" t="s">
        <v>1973</v>
      </c>
      <c r="B8" s="23"/>
      <c r="C8" s="23"/>
      <c r="D8" s="23"/>
    </row>
    <row r="9" customFormat="false" ht="30" hidden="false" customHeight="true" outlineLevel="0" collapsed="false">
      <c r="A9" s="23" t="s">
        <v>1974</v>
      </c>
      <c r="B9" s="23"/>
      <c r="C9" s="23"/>
      <c r="D9" s="23"/>
    </row>
    <row r="10" customFormat="false" ht="30" hidden="false" customHeight="true" outlineLevel="0" collapsed="false">
      <c r="A10" s="23" t="s">
        <v>1975</v>
      </c>
      <c r="B10" s="23"/>
      <c r="C10" s="23"/>
      <c r="D10" s="23"/>
    </row>
    <row r="12" customFormat="false" ht="15" hidden="false" customHeight="false" outlineLevel="0" collapsed="false">
      <c r="A12" s="24" t="s">
        <v>1976</v>
      </c>
      <c r="B12" s="24" t="s">
        <v>1977</v>
      </c>
      <c r="C12" s="24" t="s">
        <v>1978</v>
      </c>
      <c r="D12" s="24" t="s">
        <v>1979</v>
      </c>
    </row>
    <row r="13" customFormat="false" ht="15" hidden="false" customHeight="false" outlineLevel="0" collapsed="false">
      <c r="A13" s="25" t="s">
        <v>1980</v>
      </c>
      <c r="B13" s="26" t="n">
        <f aca="false">SUMPRODUCT(--(COUNTIF(Lead_Master!$A$2:$A$301,Lead_Master!$A$2:$A$301)&gt;1))</f>
        <v>0</v>
      </c>
      <c r="C13" s="27" t="str">
        <f aca="false">IF(B13=0,"OK","Review")</f>
        <v>OK</v>
      </c>
      <c r="D13" s="25" t="s">
        <v>1981</v>
      </c>
    </row>
    <row r="14" customFormat="false" ht="15" hidden="false" customHeight="false" outlineLevel="0" collapsed="false">
      <c r="A14" s="25" t="s">
        <v>1982</v>
      </c>
      <c r="B14" s="26" t="n">
        <f aca="false">SUMPRODUCT(--(COUNTIF(Lead_Master!$C$2:$C$301,Lead_Master!$C$2:$C$301)&gt;1))</f>
        <v>0</v>
      </c>
      <c r="C14" s="27" t="str">
        <f aca="false">IF(B14=0,"OK","Review")</f>
        <v>OK</v>
      </c>
      <c r="D14" s="25" t="s">
        <v>1981</v>
      </c>
    </row>
    <row r="15" customFormat="false" ht="15" hidden="false" customHeight="false" outlineLevel="0" collapsed="false">
      <c r="A15" s="25" t="s">
        <v>1983</v>
      </c>
      <c r="B15" s="26" t="n">
        <f aca="false">SUMPRODUCT(--(COUNTIF(Lead_Master!$D$2:$D$301,Lead_Master!$D$2:$D$301)&gt;1))</f>
        <v>0</v>
      </c>
      <c r="C15" s="27" t="str">
        <f aca="false">IF(B15=0,"OK","Review")</f>
        <v>OK</v>
      </c>
      <c r="D15" s="25" t="s">
        <v>1981</v>
      </c>
    </row>
    <row r="16" customFormat="false" ht="15" hidden="false" customHeight="false" outlineLevel="0" collapsed="false">
      <c r="A16" s="25" t="s">
        <v>1984</v>
      </c>
      <c r="B16" s="26" t="n">
        <f aca="false">SUMPRODUCT(--ISERROR(FIND("@",Lead_Master!$C$2:$C$301)))</f>
        <v>0</v>
      </c>
      <c r="C16" s="27" t="str">
        <f aca="false">IF(B16=0,"OK","Review")</f>
        <v>OK</v>
      </c>
      <c r="D16" s="25" t="s">
        <v>1985</v>
      </c>
    </row>
    <row r="17" customFormat="false" ht="15" hidden="false" customHeight="false" outlineLevel="0" collapsed="false">
      <c r="A17" s="25" t="s">
        <v>1986</v>
      </c>
      <c r="B17" s="26" t="n">
        <f aca="false">SUMPRODUCT(--(LEN(Lead_Master!$D$2:$D$301)&lt;&gt;10))</f>
        <v>0</v>
      </c>
      <c r="C17" s="27" t="str">
        <f aca="false">IF(B17=0,"OK","Review")</f>
        <v>OK</v>
      </c>
      <c r="D17" s="25" t="s">
        <v>1987</v>
      </c>
    </row>
    <row r="18" customFormat="false" ht="15" hidden="false" customHeight="false" outlineLevel="0" collapsed="false">
      <c r="A18" s="25" t="s">
        <v>1988</v>
      </c>
      <c r="B18" s="26" t="n">
        <f aca="false">COUNTBLANK(Lead_Master!$A$2:$J$301)</f>
        <v>0</v>
      </c>
      <c r="C18" s="27" t="str">
        <f aca="false">IF(B18=0,"OK","Review")</f>
        <v>OK</v>
      </c>
      <c r="D18" s="25" t="s">
        <v>1989</v>
      </c>
    </row>
    <row r="19" customFormat="false" ht="15" hidden="false" customHeight="false" outlineLevel="0" collapsed="false">
      <c r="A19" s="25" t="s">
        <v>1990</v>
      </c>
      <c r="B19" s="26" t="n">
        <f aca="false">SUMPRODUCT(--(COUNTIF(Lead_Master!$B$2:$B$301,Lead_Master!$B$2:$B$301)&gt;1))</f>
        <v>154</v>
      </c>
      <c r="C19" s="27" t="str">
        <f aca="false">IF(B19=0,"OK","Review")</f>
        <v>Review</v>
      </c>
      <c r="D19" s="25" t="s">
        <v>1991</v>
      </c>
    </row>
    <row r="20" customFormat="false" ht="15" hidden="false" customHeight="false" outlineLevel="0" collapsed="false">
      <c r="A20" s="25" t="s">
        <v>1992</v>
      </c>
      <c r="B20" s="26" t="n">
        <f aca="false">SUMPRODUCT(--(COUNTIF(Lead_Master!$A$2:$A$301,Interaction_Log!$B$2:$B$748)=0))</f>
        <v>0</v>
      </c>
      <c r="C20" s="27" t="str">
        <f aca="false">IF(B20=0,"OK","Review")</f>
        <v>OK</v>
      </c>
      <c r="D20" s="25" t="s">
        <v>1981</v>
      </c>
    </row>
    <row r="21" customFormat="false" ht="15" hidden="false" customHeight="false" outlineLevel="0" collapsed="false">
      <c r="A21" s="25" t="s">
        <v>1993</v>
      </c>
      <c r="B21" s="26" t="n">
        <f aca="false">COUNTIF(Follow_Up_Tracker!$I$2:$I$301,0)</f>
        <v>0</v>
      </c>
      <c r="C21" s="27" t="str">
        <f aca="false">IF(B21=0,"OK","Review")</f>
        <v>OK</v>
      </c>
      <c r="D21" s="25" t="s">
        <v>1994</v>
      </c>
    </row>
    <row r="22" customFormat="false" ht="15" hidden="false" customHeight="false" outlineLevel="0" collapsed="false">
      <c r="A22" s="25" t="s">
        <v>1995</v>
      </c>
      <c r="B22" s="26" t="n">
        <f aca="false">COUNTIF(Interaction_Log!$H$2:$H$748,"Future-dated")</f>
        <v>17</v>
      </c>
      <c r="C22" s="27" t="str">
        <f aca="false">IF(B22=0,"OK","Review")</f>
        <v>Review</v>
      </c>
      <c r="D22" s="25" t="s">
        <v>1996</v>
      </c>
    </row>
    <row r="23" customFormat="false" ht="15" hidden="false" customHeight="false" outlineLevel="0" collapsed="false">
      <c r="A23" s="25" t="s">
        <v>1997</v>
      </c>
      <c r="B23" s="26" t="n">
        <f aca="false">COUNTIF(Interaction_Log!$H$2:$H$748,"Date out of sequence")</f>
        <v>144</v>
      </c>
      <c r="C23" s="27" t="str">
        <f aca="false">IF(B23=0,"OK","Review")</f>
        <v>Review</v>
      </c>
      <c r="D23" s="25" t="s">
        <v>1998</v>
      </c>
    </row>
    <row r="24" customFormat="false" ht="15" hidden="false" customHeight="false" outlineLevel="0" collapsed="false">
      <c r="A24" s="25" t="s">
        <v>1999</v>
      </c>
      <c r="B24" s="26" t="n">
        <f aca="false">COUNTIF(Interaction_Log!$H$2:$H$748,"Follow-up not after interaction")</f>
        <v>38</v>
      </c>
      <c r="C24" s="27" t="str">
        <f aca="false">IF(B24=0,"OK","Review")</f>
        <v>Review</v>
      </c>
      <c r="D24" s="25" t="s">
        <v>2000</v>
      </c>
    </row>
    <row r="25" customFormat="false" ht="23.85" hidden="false" customHeight="false" outlineLevel="0" collapsed="false">
      <c r="A25" s="25" t="s">
        <v>2001</v>
      </c>
      <c r="B25" s="26" t="n">
        <f aca="false">COUNTIF(Follow_Up_Tracker!$K$2:$K$301,"Paid then re-opened")</f>
        <v>15</v>
      </c>
      <c r="C25" s="27" t="str">
        <f aca="false">IF(B25=0,"OK","Review")</f>
        <v>Review</v>
      </c>
      <c r="D25" s="25" t="s">
        <v>2002</v>
      </c>
    </row>
    <row r="26" customFormat="false" ht="15" hidden="false" customHeight="false" outlineLevel="0" collapsed="false">
      <c r="A26" s="25" t="s">
        <v>2003</v>
      </c>
      <c r="B26" s="26" t="n">
        <f aca="false">COUNTIF(Follow_Up_Tracker!$H$2:$H$301,"Not Scheduled")</f>
        <v>117</v>
      </c>
      <c r="C26" s="27" t="str">
        <f aca="false">IF(B26=0,"OK","Review")</f>
        <v>Review</v>
      </c>
      <c r="D26" s="25" t="s">
        <v>2004</v>
      </c>
    </row>
  </sheetData>
  <mergeCells count="8">
    <mergeCell ref="A3:D3"/>
    <mergeCell ref="A4:D4"/>
    <mergeCell ref="A5:D5"/>
    <mergeCell ref="A6:D6"/>
    <mergeCell ref="A7:D7"/>
    <mergeCell ref="A8:D8"/>
    <mergeCell ref="A9:D9"/>
    <mergeCell ref="A10:D10"/>
  </mergeCells>
  <conditionalFormatting sqref="C13:C26">
    <cfRule type="cellIs" priority="2" operator="equal" aboveAverage="0" equalAverage="0" bottom="0" percent="0" rank="0" text="" dxfId="8">
      <formula>"Review"</formula>
    </cfRule>
    <cfRule type="cellIs" priority="3" operator="equal" aboveAverage="0" equalAverage="0" bottom="0" percent="0" rank="0" text="" dxfId="1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2026-09-28T19:31:08Z</dcterms:created>
  <dc:creator>openpyxl</dc:creator>
  <dc:description/>
  <dc:language>en-US</dc:language>
  <cp:lastModifiedBy/>
  <dcterms:modified xsi:type="dcterms:W3CDTF">2026-09-28T19:31:11Z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